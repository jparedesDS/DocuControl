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U:\USUARIOS\jose.paredes\Desktop\DocuControl\utils\"/>
    </mc:Choice>
  </mc:AlternateContent>
  <xr:revisionPtr revIDLastSave="0" documentId="13_ncr:1_{F4A1323B-E3EB-4EBF-A27F-CCE452C0E0A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lantilla reporte" sheetId="1" r:id="rId1"/>
    <sheet name="TRANSMISIONES" sheetId="2" r:id="rId2"/>
  </sheets>
  <functionGroups builtInGroupCount="19"/>
  <definedNames>
    <definedName name="_xlnm._FilterDatabase" localSheetId="0" hidden="1">'Plantilla reporte'!$A$6:$F$6</definedName>
    <definedName name="_xlnm._FilterDatabase" localSheetId="1" hidden="1">TRANSMISIONES!$A$1:$F$1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1" i="1" l="1"/>
  <c r="L1" i="1"/>
  <c r="M1" i="1" s="1"/>
</calcChain>
</file>

<file path=xl/sharedStrings.xml><?xml version="1.0" encoding="utf-8"?>
<sst xmlns="http://schemas.openxmlformats.org/spreadsheetml/2006/main" count="666" uniqueCount="297">
  <si>
    <t>PROYECTO</t>
  </si>
  <si>
    <t>TIPO</t>
  </si>
  <si>
    <t>PEDIDO</t>
  </si>
  <si>
    <t>SUPLEMENTO</t>
  </si>
  <si>
    <t>TÍTULO</t>
  </si>
  <si>
    <t>santos-sanchez@eipsa.es</t>
  </si>
  <si>
    <t>TRANSMITTAL</t>
  </si>
  <si>
    <t>DOCUMENTOS</t>
  </si>
  <si>
    <t xml:space="preserve">descargar doc </t>
  </si>
  <si>
    <t>actualizar ctf</t>
  </si>
  <si>
    <t>revisar correo</t>
  </si>
  <si>
    <t>enviar correo</t>
  </si>
  <si>
    <t>ACTUALIZAR PLANTILLA</t>
  </si>
  <si>
    <t>1º</t>
  </si>
  <si>
    <t>2º</t>
  </si>
  <si>
    <t>3º</t>
  </si>
  <si>
    <t>4º</t>
  </si>
  <si>
    <t>5º</t>
  </si>
  <si>
    <t>6º</t>
  </si>
  <si>
    <t>ORGANIZAR DOC</t>
  </si>
  <si>
    <t>CRISP</t>
  </si>
  <si>
    <t>RO</t>
  </si>
  <si>
    <t>\\SRVAD01\base de datos de pedidos\Año 2023\2023 Pedidos\P-23-024 - ARAMCO - PLACA\[CTF P-23-024.xlsm]Técnica'!</t>
  </si>
  <si>
    <t>REF</t>
  </si>
  <si>
    <t>SASA</t>
  </si>
  <si>
    <t>MARJAN</t>
  </si>
  <si>
    <t>DUQM</t>
  </si>
  <si>
    <t>YPF</t>
  </si>
  <si>
    <t>DALMA-ADNOC</t>
  </si>
  <si>
    <t>INEOS</t>
  </si>
  <si>
    <t>QTAR EPC-4</t>
  </si>
  <si>
    <t>QATAR EPC-3</t>
  </si>
  <si>
    <t>CC MÉRIDA</t>
  </si>
  <si>
    <t>CC VALLADOLID</t>
  </si>
  <si>
    <t>CC G ORTEGA</t>
  </si>
  <si>
    <t>CC S.LUIS</t>
  </si>
  <si>
    <t>DÍA</t>
  </si>
  <si>
    <t>P-22/037</t>
  </si>
  <si>
    <t>S00</t>
  </si>
  <si>
    <t>10230-TR-V-13192</t>
  </si>
  <si>
    <t>10230-TR-V-13231</t>
  </si>
  <si>
    <t>S00 // S02</t>
  </si>
  <si>
    <t>T-1016010920-00069</t>
  </si>
  <si>
    <t>s00</t>
  </si>
  <si>
    <t>P-20/017 P-22/054</t>
  </si>
  <si>
    <t>s02</t>
  </si>
  <si>
    <t>1016010920-00070</t>
  </si>
  <si>
    <t>P-23/029</t>
  </si>
  <si>
    <t>CC G.ORTEGA</t>
  </si>
  <si>
    <t>CAUDAL</t>
  </si>
  <si>
    <t>NEW VDDL</t>
  </si>
  <si>
    <t>P-23/030</t>
  </si>
  <si>
    <t>70215-UTE-VEN-TV-00770</t>
  </si>
  <si>
    <t>P-23/002</t>
  </si>
  <si>
    <t>NUESTRA REV</t>
  </si>
  <si>
    <t>TÍTULO CLIENTE</t>
  </si>
  <si>
    <t>REV CLIENTE</t>
  </si>
  <si>
    <t xml:space="preserve">ESTADO </t>
  </si>
  <si>
    <t>P-23/003</t>
  </si>
  <si>
    <t>70225-UTE-VEN-TV-00740</t>
  </si>
  <si>
    <t>70225-UTE-VEN-TV-00818</t>
  </si>
  <si>
    <t>TEMPERATURA</t>
  </si>
  <si>
    <t>P-23/027</t>
  </si>
  <si>
    <t>QATAR-GAS</t>
  </si>
  <si>
    <t>1037010640-T-0001</t>
  </si>
  <si>
    <t>P-20/017</t>
  </si>
  <si>
    <t>T-1016010920-00073</t>
  </si>
  <si>
    <t>P-23/028</t>
  </si>
  <si>
    <t>QATAR GAS</t>
  </si>
  <si>
    <t>BIMETÁLICOS</t>
  </si>
  <si>
    <t>1037010610-T-0001</t>
  </si>
  <si>
    <t>CC-VALLADOLID</t>
  </si>
  <si>
    <t>70225-UTE-VEN-TV-00967</t>
  </si>
  <si>
    <t>1037010610-T-0002</t>
  </si>
  <si>
    <t>PA-23-044</t>
  </si>
  <si>
    <t>MDEA BIOBIO</t>
  </si>
  <si>
    <t>80091-TR-VEN-3815</t>
  </si>
  <si>
    <t>P-20/025</t>
  </si>
  <si>
    <t>S00 // S01 // S02</t>
  </si>
  <si>
    <t>BAPCO</t>
  </si>
  <si>
    <t>MOC-VEND-TRA-0070_000M-1554-003</t>
  </si>
  <si>
    <t>P-20/020</t>
  </si>
  <si>
    <t>T-1016010610-00018</t>
  </si>
  <si>
    <t>QATARGAS</t>
  </si>
  <si>
    <t>1037010640-T-0003</t>
  </si>
  <si>
    <t>P-23/036</t>
  </si>
  <si>
    <t>BUHASA</t>
  </si>
  <si>
    <t>80057-TR-VD-T-014517</t>
  </si>
  <si>
    <t>P-23/001</t>
  </si>
  <si>
    <t>TEMP</t>
  </si>
  <si>
    <t>1040010640-VT-00003</t>
  </si>
  <si>
    <t>T-1038010610-0005</t>
  </si>
  <si>
    <t>23/026</t>
  </si>
  <si>
    <t>T-1038010610-0006</t>
  </si>
  <si>
    <t>1037010610-T-0006</t>
  </si>
  <si>
    <t>P-23-044</t>
  </si>
  <si>
    <t>1037010910-T-0003</t>
  </si>
  <si>
    <t>p-23/027</t>
  </si>
  <si>
    <t>QATAR-GAS epc3</t>
  </si>
  <si>
    <t>temperatura</t>
  </si>
  <si>
    <t>1037010640-T-0011</t>
  </si>
  <si>
    <t>p-22/037</t>
  </si>
  <si>
    <t>10230-TR-V-15083</t>
  </si>
  <si>
    <t>MÚLTIPLES</t>
  </si>
  <si>
    <t>80057-TR-VD-T-014742</t>
  </si>
  <si>
    <t>1037010910-T-0005</t>
  </si>
  <si>
    <t>P-23/044</t>
  </si>
  <si>
    <t>QATAR EPC3</t>
  </si>
  <si>
    <t>P-23/076</t>
  </si>
  <si>
    <t>CC SANLUIS</t>
  </si>
  <si>
    <t>70240-UTE-VEN-TV-01992</t>
  </si>
  <si>
    <t>P-21/003</t>
  </si>
  <si>
    <t>S00 S04</t>
  </si>
  <si>
    <t>10230-TR-V-17076</t>
  </si>
  <si>
    <t>1037010910-T-0023</t>
  </si>
  <si>
    <t>1037010910-T-0024</t>
  </si>
  <si>
    <t>1037010910-T-0027</t>
  </si>
  <si>
    <t>C - REVIEWED WITH MINOR COMMENTS</t>
  </si>
  <si>
    <t>S00/S01</t>
  </si>
  <si>
    <t>MARJAL</t>
  </si>
  <si>
    <t>10230-TR-V-17544</t>
  </si>
  <si>
    <t>F - REVIEWED WITHOUT COMMENTS</t>
  </si>
  <si>
    <t>P-24/061</t>
  </si>
  <si>
    <t>SACYR/CEPSA</t>
  </si>
  <si>
    <t>P-24/061_16</t>
  </si>
  <si>
    <t>To:</t>
  </si>
  <si>
    <t>CC:</t>
  </si>
  <si>
    <t>luis-bravo@eipsa.es;jesus-martinez@eipsa.es;ernesto-carrillo@eipsa.es</t>
  </si>
  <si>
    <t>ana-calvo@eipsa.es;jesus-martinez@eipsa.es;ernesto-carrillo@eipsa.es</t>
  </si>
  <si>
    <t>carlos-crespohor@eipsa.es;jesus-martinez@eipsa.es;ernesto-carrillo@eipsa.es</t>
  </si>
  <si>
    <t>P-25/009</t>
  </si>
  <si>
    <t>SENER/GATE</t>
  </si>
  <si>
    <t>P-25/009_13</t>
  </si>
  <si>
    <t>P-25/009_14</t>
  </si>
  <si>
    <t>P-25/013</t>
  </si>
  <si>
    <t>P-25/013_3</t>
  </si>
  <si>
    <t>WORLEY/BP</t>
  </si>
  <si>
    <t>P-25/019</t>
  </si>
  <si>
    <t>JIGPC</t>
  </si>
  <si>
    <t>P-25/019_5</t>
  </si>
  <si>
    <t>P-25/024</t>
  </si>
  <si>
    <t>P-25/024_1</t>
  </si>
  <si>
    <t>REPSOL</t>
  </si>
  <si>
    <t>P-25/013_4</t>
  </si>
  <si>
    <t>P-25/015</t>
  </si>
  <si>
    <t>MOEVE</t>
  </si>
  <si>
    <t>P-25/015_</t>
  </si>
  <si>
    <t>P-25/024_3</t>
  </si>
  <si>
    <t>P-25/009_19</t>
  </si>
  <si>
    <t>P-25/015_5</t>
  </si>
  <si>
    <t>P-25/015_6</t>
  </si>
  <si>
    <t>SENNER</t>
  </si>
  <si>
    <t>P-25/009_20</t>
  </si>
  <si>
    <t>WORLEY</t>
  </si>
  <si>
    <t>P-25/013_5</t>
  </si>
  <si>
    <t>P-24/070</t>
  </si>
  <si>
    <t>HYUNDAI</t>
  </si>
  <si>
    <t>P-24/070_14</t>
  </si>
  <si>
    <t>P-25/005</t>
  </si>
  <si>
    <t>YOKOWAGA</t>
  </si>
  <si>
    <t>P-25/005_04</t>
  </si>
  <si>
    <t>SENER</t>
  </si>
  <si>
    <t>P-25/009_21</t>
  </si>
  <si>
    <t>P-25/050</t>
  </si>
  <si>
    <t>P-25/050_3</t>
  </si>
  <si>
    <t>CEPSA</t>
  </si>
  <si>
    <t>PLACA</t>
  </si>
  <si>
    <t>PA-25/050</t>
  </si>
  <si>
    <t>P-25/050_4</t>
  </si>
  <si>
    <t>P-25/009_22</t>
  </si>
  <si>
    <t>P-25/013_7</t>
  </si>
  <si>
    <t>P-24/070_16</t>
  </si>
  <si>
    <t>P-25-071</t>
  </si>
  <si>
    <t>MEDGAZ</t>
  </si>
  <si>
    <t>P-25-071_1</t>
  </si>
  <si>
    <t>P-25-013</t>
  </si>
  <si>
    <t>P-25-013_8</t>
  </si>
  <si>
    <t>P-25-036</t>
  </si>
  <si>
    <t>P-25-036_01</t>
  </si>
  <si>
    <t>ARAMCO/PETRO RABIGH</t>
  </si>
  <si>
    <t>P-25/013_9</t>
  </si>
  <si>
    <t>P-25/024_4</t>
  </si>
  <si>
    <t>P-24/070_17</t>
  </si>
  <si>
    <t>P-25/035</t>
  </si>
  <si>
    <t>BRIDAS</t>
  </si>
  <si>
    <t>P-25/035_1</t>
  </si>
  <si>
    <t>P-25/024_5</t>
  </si>
  <si>
    <t>P-25/035_2</t>
  </si>
  <si>
    <t>P-25/035_3</t>
  </si>
  <si>
    <t>P-25/035_4</t>
  </si>
  <si>
    <t>P-25/041</t>
  </si>
  <si>
    <t>P-25/041_2</t>
  </si>
  <si>
    <t>P-25/042</t>
  </si>
  <si>
    <t>P-25/045</t>
  </si>
  <si>
    <t>ALMARAZ-TRILLO</t>
  </si>
  <si>
    <t>PT-100</t>
  </si>
  <si>
    <t>P-25/045_0</t>
  </si>
  <si>
    <t>P-25/042_0</t>
  </si>
  <si>
    <t>YOKOGAWA</t>
  </si>
  <si>
    <t>P-25/005_5</t>
  </si>
  <si>
    <t>AFIFI/ARAMCO</t>
  </si>
  <si>
    <t>PA-25/087</t>
  </si>
  <si>
    <t>PA-25/087_0</t>
  </si>
  <si>
    <t>PA-25/087_1</t>
  </si>
  <si>
    <t>P-25/031</t>
  </si>
  <si>
    <t>SULZER</t>
  </si>
  <si>
    <t>P-25/031_1</t>
  </si>
  <si>
    <t>P-25/035_6</t>
  </si>
  <si>
    <t>P-25/051</t>
  </si>
  <si>
    <t>P-25/051_0</t>
  </si>
  <si>
    <t>TECMACO</t>
  </si>
  <si>
    <t>P-25/053</t>
  </si>
  <si>
    <t>P-25/053_1</t>
  </si>
  <si>
    <t>REVIEWED WITH COMMENTS</t>
  </si>
  <si>
    <t>I - FOR INFORMATION</t>
  </si>
  <si>
    <t>P-25/0-S00//TRANSMITTAL P-25/0</t>
  </si>
  <si>
    <t>P-25/039_0</t>
  </si>
  <si>
    <t>P-25/039</t>
  </si>
  <si>
    <t>P-24/070_19</t>
  </si>
  <si>
    <t>HYUNDAI/ARAMCO</t>
  </si>
  <si>
    <t>P-24/070_20</t>
  </si>
  <si>
    <t>P-25/052</t>
  </si>
  <si>
    <t>YARA</t>
  </si>
  <si>
    <t>VENTURIS</t>
  </si>
  <si>
    <t>P-25/052_0</t>
  </si>
  <si>
    <t>P-25/035_8</t>
  </si>
  <si>
    <t>P-25/035_7</t>
  </si>
  <si>
    <t>P-25/009_23</t>
  </si>
  <si>
    <t>P-25/056</t>
  </si>
  <si>
    <t>TERMOPARES MUELLE</t>
  </si>
  <si>
    <t>P-25/056_0</t>
  </si>
  <si>
    <t>P-25/043</t>
  </si>
  <si>
    <t>PETRONASH/QATAR</t>
  </si>
  <si>
    <t>P-25/043_0</t>
  </si>
  <si>
    <t>P-25/037</t>
  </si>
  <si>
    <t>P-25/037_1</t>
  </si>
  <si>
    <t>P-25/057</t>
  </si>
  <si>
    <t>ALMARAZ/TRILLO</t>
  </si>
  <si>
    <t>TERMOPARES</t>
  </si>
  <si>
    <t>P-25/057_1</t>
  </si>
  <si>
    <t>P-25/038</t>
  </si>
  <si>
    <t>BRIDAS+PLACAS</t>
  </si>
  <si>
    <t>P-25/038_1</t>
  </si>
  <si>
    <t>ORIFICIOS</t>
  </si>
  <si>
    <t>P-25/039_3</t>
  </si>
  <si>
    <t>TEN/BP</t>
  </si>
  <si>
    <t>P-25/059</t>
  </si>
  <si>
    <t>P-25/059_1</t>
  </si>
  <si>
    <t>P-25/060</t>
  </si>
  <si>
    <t>P-25/060_1</t>
  </si>
  <si>
    <t>ORIFICIO</t>
  </si>
  <si>
    <t>P-25/059_2</t>
  </si>
  <si>
    <t>P-25/060_2</t>
  </si>
  <si>
    <t>P-25/060_3</t>
  </si>
  <si>
    <t>P-25/051_2</t>
  </si>
  <si>
    <t>P-25/059_3</t>
  </si>
  <si>
    <t>P-25/062</t>
  </si>
  <si>
    <t>NIVELES</t>
  </si>
  <si>
    <t>P-25/062_1</t>
  </si>
  <si>
    <t>P-25/023</t>
  </si>
  <si>
    <t>P-25/023_21</t>
  </si>
  <si>
    <t>QATAR BOP</t>
  </si>
  <si>
    <t>BIMETALICOS</t>
  </si>
  <si>
    <t>P-25/055</t>
  </si>
  <si>
    <t>P-25/055_1</t>
  </si>
  <si>
    <t>P-25/051_3</t>
  </si>
  <si>
    <t>P-25/065</t>
  </si>
  <si>
    <t>ENEGAS</t>
  </si>
  <si>
    <t>P-25/065_1</t>
  </si>
  <si>
    <t>P-25/051_4</t>
  </si>
  <si>
    <t>PA-25/118</t>
  </si>
  <si>
    <t>PA-25/118_1</t>
  </si>
  <si>
    <t>WORLEY/MOEVE</t>
  </si>
  <si>
    <t>P-25/039_4</t>
  </si>
  <si>
    <t>PA-25/116</t>
  </si>
  <si>
    <t>BP OIL</t>
  </si>
  <si>
    <t>VAINAS</t>
  </si>
  <si>
    <t>PA-25/116_1</t>
  </si>
  <si>
    <t>P-25/055_3</t>
  </si>
  <si>
    <t>P-25/059_5</t>
  </si>
  <si>
    <t>P-25/049</t>
  </si>
  <si>
    <t>ITER</t>
  </si>
  <si>
    <t>P-25/049_1</t>
  </si>
  <si>
    <t>V-10612190-63-EP-1546-002-001</t>
  </si>
  <si>
    <t>V-10612190-63-EP-1546-002-002</t>
  </si>
  <si>
    <t>V-10612190-63-EP-1546-002-003</t>
  </si>
  <si>
    <t>V-10612190-63-EP-1546-002-004</t>
  </si>
  <si>
    <t>V-10612190-63-EP-1546-002-005</t>
  </si>
  <si>
    <t>V-10612190-63-EP-1546-002-006</t>
  </si>
  <si>
    <t>LISTA DE DOCUMENTOS</t>
  </si>
  <si>
    <t>PLANNING FABRICACIÓN</t>
  </si>
  <si>
    <t>CÁLCULOS</t>
  </si>
  <si>
    <t>PLANOS DIMENSIONALES</t>
  </si>
  <si>
    <t>CATÁLOGOS DESCRIPTIVOS</t>
  </si>
  <si>
    <t>PROGRAMA DE PUNTOS DE</t>
  </si>
  <si>
    <t>INSPECCIÓN (PPI)</t>
  </si>
  <si>
    <t>P-25/060_4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</si>
</sst>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Calibri"/>
      <family val="2"/>
    </font>
    <font>
      <sz val="10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7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center" vertical="center" wrapText="1"/>
    </xf>
    <xf numFmtId="0" fontId="3" fillId="0" borderId="0" xfId="1" applyFont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0" borderId="0" xfId="1" applyFont="1"/>
    <xf numFmtId="0" fontId="2" fillId="0" borderId="0" xfId="0" applyFont="1"/>
    <xf numFmtId="0" fontId="5" fillId="0" borderId="1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95250</xdr:rowOff>
        </xdr:from>
        <xdr:to>
          <xdr:col>11</xdr:col>
          <xdr:colOff>2371725</xdr:colOff>
          <xdr:row>5</xdr:row>
          <xdr:rowOff>276225</xdr:rowOff>
        </xdr:to>
        <xdr:sp macro="" textlink="">
          <xdr:nvSpPr>
            <xdr:cNvPr id="1030" name="CORREO_NUEV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44823</xdr:rowOff>
        </xdr:from>
        <xdr:to>
          <xdr:col>11</xdr:col>
          <xdr:colOff>2566147</xdr:colOff>
          <xdr:row>6</xdr:row>
          <xdr:rowOff>11206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mailto:ana-calvo@eipsa.es;jesus-martinez@eipsa.es;ernesto-carrillo@eipsa.es" TargetMode="External"/><Relationship Id="rId7" Type="http://schemas.openxmlformats.org/officeDocument/2006/relationships/printerSettings" Target="../printerSettings/printerSettings1.bin"/><Relationship Id="rId12" Type="http://schemas.openxmlformats.org/officeDocument/2006/relationships/ctrlProp" Target="../ctrlProps/ctrlProp1.xml"/><Relationship Id="rId2" Type="http://schemas.openxmlformats.org/officeDocument/2006/relationships/hyperlink" Target="mailto:luis-bravo@eipsa.es;jesus-martinez@eipsa.es;ernesto-carrillo@eipsa.es" TargetMode="External"/><Relationship Id="rId1" Type="http://schemas.openxmlformats.org/officeDocument/2006/relationships/hyperlink" Target="mailto:santos-sanchez@eipsa.es" TargetMode="External"/><Relationship Id="rId6" Type="http://schemas.openxmlformats.org/officeDocument/2006/relationships/hyperlink" Target="mailto:ana-calvo@eipsa.es;jesus-martinez@eipsa.es;ernesto-carrillo@eipsa.es" TargetMode="External"/><Relationship Id="rId11" Type="http://schemas.openxmlformats.org/officeDocument/2006/relationships/image" Target="../media/image1.emf"/><Relationship Id="rId5" Type="http://schemas.openxmlformats.org/officeDocument/2006/relationships/hyperlink" Target="mailto:carlos-crespohor@eipsa.es;jesus-martinez@eipsa.es;ernesto-carrillo@eipsa.es" TargetMode="External"/><Relationship Id="rId10" Type="http://schemas.openxmlformats.org/officeDocument/2006/relationships/control" Target="../activeX/activeX1.xml"/><Relationship Id="rId4" Type="http://schemas.openxmlformats.org/officeDocument/2006/relationships/hyperlink" Target="file:///\\SRVAD01\base%20de%20datos%20de%20pedidos\A&#241;o%202023\2023%20Pedidos\P-23-024%20-%20ARAMCO%20-%20PLACA\%5bCTF%20P-23-024.xlsm%5dT&#233;cnica'!" TargetMode="External"/><Relationship Id="rId9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P35"/>
  <sheetViews>
    <sheetView tabSelected="1" zoomScale="85" zoomScaleNormal="85" workbookViewId="0">
      <selection sqref="A1:F13"/>
    </sheetView>
  </sheetViews>
  <sheetFormatPr baseColWidth="10" defaultColWidth="9.140625" defaultRowHeight="24.95" customHeight="1" x14ac:dyDescent="0.2"/>
  <cols>
    <col min="1" max="1" width="27.7109375" style="18" bestFit="1" customWidth="1"/>
    <col min="2" max="2" width="17" style="18" bestFit="1" customWidth="1"/>
    <col min="3" max="3" width="21.85546875" style="18" bestFit="1" customWidth="1"/>
    <col min="4" max="4" width="27.7109375" style="18" bestFit="1" customWidth="1"/>
    <col min="5" max="5" width="16" style="6" bestFit="1" customWidth="1"/>
    <col min="6" max="6" width="32.28515625" style="18" bestFit="1" customWidth="1"/>
    <col min="7" max="7" width="3.140625" style="18" bestFit="1" customWidth="1"/>
    <col min="8" max="9" width="3.42578125" style="18" hidden="1" customWidth="1"/>
    <col min="10" max="10" width="3.5703125" style="18" hidden="1" customWidth="1"/>
    <col min="11" max="11" width="3.7109375" style="18" bestFit="1" customWidth="1"/>
    <col min="12" max="12" width="66.7109375" style="18" bestFit="1" customWidth="1"/>
    <col min="13" max="13" width="97.42578125" style="18" bestFit="1" customWidth="1"/>
    <col min="14" max="14" width="3" style="18" customWidth="1"/>
    <col min="15" max="15" width="3" style="18" bestFit="1" customWidth="1"/>
    <col min="16" max="16" width="19" style="18" bestFit="1" customWidth="1"/>
    <col min="17" max="16384" width="9.140625" style="18"/>
  </cols>
  <sheetData>
    <row r="1" spans="1:16" ht="24.95" customHeight="1" x14ac:dyDescent="0.2">
      <c r="A1" s="10" t="s">
        <v>2</v>
      </c>
      <c r="B1" s="11" t="s">
        <v>248</v>
      </c>
      <c r="C1" s="1"/>
      <c r="D1" s="12"/>
      <c r="E1" s="1"/>
      <c r="F1" s="1"/>
      <c r="G1" s="1" t="str">
        <f>MID(B1,3,2)</f>
        <v>25</v>
      </c>
      <c r="H1" s="1"/>
      <c r="I1" s="1"/>
      <c r="J1" s="1"/>
      <c r="K1" s="2"/>
      <c r="L1" s="7">
        <f ca="1">TODAY()</f>
        <v>45974</v>
      </c>
      <c r="M1" s="7">
        <f ca="1">L1+10</f>
        <v>45984</v>
      </c>
      <c r="O1" s="18" t="s">
        <v>13</v>
      </c>
      <c r="P1" s="18" t="s">
        <v>12</v>
      </c>
    </row>
    <row r="2" spans="1:16" ht="24.95" customHeight="1" x14ac:dyDescent="0.2">
      <c r="A2" s="13" t="s">
        <v>3</v>
      </c>
      <c r="B2" s="14" t="s">
        <v>38</v>
      </c>
      <c r="C2" s="1"/>
      <c r="D2" s="1"/>
      <c r="E2" s="15"/>
      <c r="F2" s="15"/>
      <c r="G2" s="1"/>
      <c r="H2" s="1"/>
      <c r="I2" s="1"/>
      <c r="J2" s="1"/>
      <c r="K2" s="2" t="s">
        <v>125</v>
      </c>
      <c r="L2" s="9" t="s">
        <v>5</v>
      </c>
      <c r="O2" s="18" t="s">
        <v>14</v>
      </c>
      <c r="P2" s="18" t="s">
        <v>8</v>
      </c>
    </row>
    <row r="3" spans="1:16" ht="24.95" customHeight="1" x14ac:dyDescent="0.2">
      <c r="A3" s="10" t="s">
        <v>0</v>
      </c>
      <c r="B3" s="11" t="s">
        <v>245</v>
      </c>
      <c r="C3" s="1"/>
      <c r="D3" s="1"/>
      <c r="E3" s="1"/>
      <c r="F3" s="15"/>
      <c r="G3" s="1"/>
      <c r="H3" s="1"/>
      <c r="I3" s="1"/>
      <c r="J3" s="1"/>
      <c r="K3" s="2" t="s">
        <v>126</v>
      </c>
      <c r="L3" s="9" t="s">
        <v>128</v>
      </c>
      <c r="O3" s="18" t="s">
        <v>15</v>
      </c>
      <c r="P3" s="18" t="s">
        <v>9</v>
      </c>
    </row>
    <row r="4" spans="1:16" ht="24.95" customHeight="1" x14ac:dyDescent="0.2">
      <c r="A4" s="10" t="s">
        <v>1</v>
      </c>
      <c r="B4" s="11" t="s">
        <v>250</v>
      </c>
      <c r="C4" s="1"/>
      <c r="D4" s="1"/>
      <c r="E4" s="15"/>
      <c r="F4" s="1"/>
      <c r="G4" s="1"/>
      <c r="H4" s="1"/>
      <c r="I4" s="1"/>
      <c r="J4" s="1"/>
      <c r="K4" s="1"/>
      <c r="L4" s="1"/>
      <c r="O4" s="18" t="s">
        <v>16</v>
      </c>
      <c r="P4" s="18" t="s">
        <v>19</v>
      </c>
    </row>
    <row r="5" spans="1:16" ht="24.95" customHeight="1" x14ac:dyDescent="0.2">
      <c r="A5" s="13" t="s">
        <v>6</v>
      </c>
      <c r="B5" s="14" t="s">
        <v>296</v>
      </c>
      <c r="C5" s="1"/>
      <c r="D5" s="1"/>
      <c r="E5" s="1"/>
      <c r="F5" s="1"/>
      <c r="G5" s="1"/>
      <c r="H5" s="1"/>
      <c r="I5" s="1"/>
      <c r="J5" s="1"/>
      <c r="K5" s="1"/>
      <c r="L5" s="1"/>
      <c r="O5" s="18" t="s">
        <v>17</v>
      </c>
      <c r="P5" s="18" t="s">
        <v>10</v>
      </c>
    </row>
    <row r="6" spans="1:16" ht="24.95" customHeight="1" x14ac:dyDescent="0.2">
      <c r="A6" s="10" t="s">
        <v>7</v>
      </c>
      <c r="B6" s="10" t="s">
        <v>54</v>
      </c>
      <c r="C6" s="10" t="s">
        <v>4</v>
      </c>
      <c r="D6" s="10" t="s">
        <v>55</v>
      </c>
      <c r="E6" s="10" t="s">
        <v>56</v>
      </c>
      <c r="F6" s="10" t="s">
        <v>57</v>
      </c>
      <c r="G6" s="1"/>
      <c r="H6" s="1"/>
      <c r="I6" s="1"/>
      <c r="J6" s="1"/>
      <c r="K6" s="1"/>
      <c r="L6" s="1"/>
      <c r="O6" s="18" t="s">
        <v>18</v>
      </c>
      <c r="P6" s="18" t="s">
        <v>11</v>
      </c>
    </row>
    <row r="7" spans="1:16" ht="24.95" customHeight="1" x14ac:dyDescent="0.2">
      <c r="A7" s="26" t="s">
        <v>283</v>
      </c>
      <c r="B7" s="19">
        <v>1</v>
      </c>
      <c r="C7" s="11" t="s">
        <v>289</v>
      </c>
      <c r="D7" s="26" t="s">
        <v>283</v>
      </c>
      <c r="E7" s="19">
        <v>1</v>
      </c>
      <c r="F7" s="11" t="s">
        <v>121</v>
      </c>
      <c r="G7" s="1"/>
      <c r="H7" s="1"/>
      <c r="I7" s="1"/>
      <c r="J7" s="1"/>
      <c r="K7" s="1"/>
      <c r="L7" s="1"/>
    </row>
    <row r="8" spans="1:16" ht="24.95" customHeight="1" x14ac:dyDescent="0.2">
      <c r="A8" s="16" t="s">
        <v>284</v>
      </c>
      <c r="B8" s="19">
        <v>0</v>
      </c>
      <c r="C8" s="16" t="s">
        <v>290</v>
      </c>
      <c r="D8" s="16" t="s">
        <v>284</v>
      </c>
      <c r="E8" s="19">
        <v>0</v>
      </c>
      <c r="F8" s="11" t="s">
        <v>121</v>
      </c>
      <c r="G8" s="1"/>
      <c r="H8" s="1"/>
      <c r="I8" s="1"/>
      <c r="J8" s="1"/>
      <c r="K8" s="1"/>
      <c r="L8" s="9" t="s">
        <v>127</v>
      </c>
    </row>
    <row r="9" spans="1:16" ht="24.95" customHeight="1" x14ac:dyDescent="0.2">
      <c r="A9" s="16" t="s">
        <v>285</v>
      </c>
      <c r="B9" s="19">
        <v>2</v>
      </c>
      <c r="C9" s="16" t="s">
        <v>291</v>
      </c>
      <c r="D9" s="16" t="s">
        <v>285</v>
      </c>
      <c r="E9" s="19">
        <v>2</v>
      </c>
      <c r="F9" s="11" t="s">
        <v>121</v>
      </c>
      <c r="G9" s="1"/>
      <c r="H9" s="1"/>
      <c r="I9" s="1"/>
      <c r="J9" s="1"/>
      <c r="K9" s="1"/>
      <c r="L9" s="9" t="s">
        <v>128</v>
      </c>
      <c r="M9" s="17" t="s">
        <v>22</v>
      </c>
    </row>
    <row r="10" spans="1:16" ht="24.95" customHeight="1" x14ac:dyDescent="0.2">
      <c r="A10" s="16" t="s">
        <v>286</v>
      </c>
      <c r="B10" s="19">
        <v>2</v>
      </c>
      <c r="C10" s="16" t="s">
        <v>292</v>
      </c>
      <c r="D10" s="16" t="s">
        <v>286</v>
      </c>
      <c r="E10" s="19">
        <v>2</v>
      </c>
      <c r="F10" s="11" t="s">
        <v>117</v>
      </c>
      <c r="G10" s="1"/>
      <c r="H10" s="1"/>
      <c r="I10" s="1"/>
      <c r="J10" s="1"/>
      <c r="K10" s="1"/>
      <c r="L10" s="9" t="s">
        <v>129</v>
      </c>
    </row>
    <row r="11" spans="1:16" ht="24.95" customHeight="1" x14ac:dyDescent="0.2">
      <c r="A11" s="16" t="s">
        <v>287</v>
      </c>
      <c r="B11" s="19">
        <v>0</v>
      </c>
      <c r="C11" s="16" t="s">
        <v>293</v>
      </c>
      <c r="D11" s="16" t="s">
        <v>287</v>
      </c>
      <c r="E11" s="19">
        <v>0</v>
      </c>
      <c r="F11" s="11" t="s">
        <v>121</v>
      </c>
      <c r="G11" s="1"/>
      <c r="H11" s="1"/>
      <c r="I11" s="1"/>
      <c r="J11" s="1"/>
      <c r="K11" s="1"/>
      <c r="L11" s="9"/>
    </row>
    <row r="12" spans="1:16" ht="24.95" customHeight="1" x14ac:dyDescent="0.2">
      <c r="A12" s="16" t="s">
        <v>288</v>
      </c>
      <c r="B12" s="19">
        <v>0</v>
      </c>
      <c r="C12" s="19" t="s">
        <v>294</v>
      </c>
      <c r="D12" s="16" t="s">
        <v>288</v>
      </c>
      <c r="E12" s="19">
        <v>0</v>
      </c>
      <c r="F12" s="11" t="s">
        <v>121</v>
      </c>
      <c r="L12" s="1" t="s">
        <v>215</v>
      </c>
    </row>
    <row r="13" spans="1:16" ht="24.95" customHeight="1" x14ac:dyDescent="0.2">
      <c r="A13" s="24"/>
      <c r="B13" s="20"/>
      <c r="C13" s="25" t="s">
        <v>295</v>
      </c>
      <c r="D13" s="24"/>
      <c r="E13" s="20"/>
      <c r="F13" s="23"/>
      <c r="L13" s="1" t="s">
        <v>121</v>
      </c>
    </row>
    <row r="14" spans="1:16" ht="24.95" customHeight="1" x14ac:dyDescent="0.2">
      <c r="A14" s="21"/>
      <c r="B14" s="21"/>
      <c r="C14" s="21"/>
      <c r="D14" s="21"/>
      <c r="E14" s="21"/>
      <c r="F14" s="22"/>
      <c r="L14" s="1" t="s">
        <v>117</v>
      </c>
    </row>
    <row r="15" spans="1:16" ht="24.95" customHeight="1" x14ac:dyDescent="0.2">
      <c r="A15" s="20"/>
      <c r="B15" s="20"/>
      <c r="C15" s="20"/>
      <c r="D15" s="20"/>
      <c r="E15" s="20"/>
      <c r="F15" s="23"/>
      <c r="L15" s="1" t="s">
        <v>213</v>
      </c>
    </row>
    <row r="16" spans="1:16" ht="24.95" customHeight="1" x14ac:dyDescent="0.2">
      <c r="A16" s="8"/>
      <c r="B16" s="8"/>
      <c r="C16" s="8"/>
      <c r="D16" s="8"/>
      <c r="E16" s="8"/>
      <c r="F16" s="8"/>
      <c r="L16" s="8" t="s">
        <v>214</v>
      </c>
    </row>
    <row r="17" spans="1:6" ht="24.95" customHeight="1" x14ac:dyDescent="0.2">
      <c r="A17" s="21"/>
      <c r="B17" s="21"/>
      <c r="C17" s="21"/>
      <c r="D17" s="21"/>
      <c r="E17" s="21"/>
      <c r="F17" s="22"/>
    </row>
    <row r="18" spans="1:6" ht="24.95" customHeight="1" x14ac:dyDescent="0.2">
      <c r="A18" s="20"/>
      <c r="B18" s="20"/>
      <c r="C18" s="20"/>
      <c r="D18" s="20"/>
      <c r="E18" s="20"/>
      <c r="F18" s="20"/>
    </row>
    <row r="19" spans="1:6" ht="24.95" customHeight="1" x14ac:dyDescent="0.2">
      <c r="A19" s="8"/>
      <c r="B19" s="8"/>
      <c r="C19" s="8"/>
      <c r="D19" s="8"/>
      <c r="E19" s="8"/>
      <c r="F19" s="8"/>
    </row>
    <row r="20" spans="1:6" ht="24.95" customHeight="1" x14ac:dyDescent="0.2">
      <c r="A20" s="8"/>
      <c r="B20" s="8"/>
      <c r="C20" s="8"/>
      <c r="D20" s="8"/>
      <c r="E20" s="8"/>
      <c r="F20" s="8"/>
    </row>
    <row r="21" spans="1:6" ht="24.95" customHeight="1" x14ac:dyDescent="0.2">
      <c r="A21" s="8"/>
      <c r="B21" s="8"/>
      <c r="C21" s="8"/>
      <c r="D21" s="8"/>
      <c r="E21" s="8"/>
      <c r="F21" s="8"/>
    </row>
    <row r="22" spans="1:6" ht="24.95" customHeight="1" x14ac:dyDescent="0.2">
      <c r="A22" s="8"/>
      <c r="B22" s="8"/>
      <c r="C22" s="8"/>
      <c r="D22" s="8"/>
      <c r="E22" s="8"/>
      <c r="F22" s="8"/>
    </row>
    <row r="23" spans="1:6" ht="24.95" customHeight="1" x14ac:dyDescent="0.2">
      <c r="A23" s="8"/>
      <c r="B23" s="8"/>
      <c r="C23" s="8"/>
      <c r="D23" s="8"/>
      <c r="E23" s="8"/>
      <c r="F23" s="8"/>
    </row>
    <row r="24" spans="1:6" ht="24.95" customHeight="1" x14ac:dyDescent="0.2">
      <c r="A24" s="8"/>
      <c r="B24" s="8"/>
      <c r="C24" s="8"/>
      <c r="D24" s="8"/>
      <c r="E24" s="8"/>
      <c r="F24" s="8"/>
    </row>
    <row r="25" spans="1:6" ht="24.95" customHeight="1" x14ac:dyDescent="0.2">
      <c r="A25" s="8"/>
      <c r="B25" s="8"/>
      <c r="C25" s="8"/>
      <c r="D25" s="8"/>
      <c r="E25" s="8"/>
      <c r="F25" s="8"/>
    </row>
    <row r="26" spans="1:6" ht="24.95" customHeight="1" x14ac:dyDescent="0.2">
      <c r="A26" s="8"/>
      <c r="B26" s="8"/>
      <c r="C26" s="8"/>
      <c r="D26" s="8"/>
      <c r="E26" s="8"/>
      <c r="F26" s="8"/>
    </row>
    <row r="27" spans="1:6" ht="24.95" customHeight="1" x14ac:dyDescent="0.2">
      <c r="A27" s="8"/>
      <c r="B27" s="8"/>
      <c r="C27" s="8"/>
      <c r="D27" s="8"/>
      <c r="E27" s="8"/>
      <c r="F27" s="8"/>
    </row>
    <row r="28" spans="1:6" ht="24.95" customHeight="1" x14ac:dyDescent="0.2">
      <c r="A28" s="8"/>
      <c r="B28" s="8"/>
      <c r="C28" s="8"/>
      <c r="D28" s="8"/>
      <c r="E28" s="8"/>
      <c r="F28" s="8"/>
    </row>
    <row r="29" spans="1:6" ht="24.95" customHeight="1" x14ac:dyDescent="0.2">
      <c r="A29" s="8"/>
      <c r="B29" s="8"/>
      <c r="C29" s="8"/>
      <c r="D29" s="8"/>
      <c r="E29" s="8"/>
      <c r="F29" s="8"/>
    </row>
    <row r="30" spans="1:6" ht="24.95" customHeight="1" x14ac:dyDescent="0.2">
      <c r="A30" s="8"/>
      <c r="B30" s="8"/>
      <c r="C30" s="8"/>
      <c r="D30" s="8"/>
      <c r="E30" s="8"/>
      <c r="F30" s="8"/>
    </row>
    <row r="31" spans="1:6" ht="24.95" customHeight="1" x14ac:dyDescent="0.2">
      <c r="A31" s="8"/>
      <c r="B31" s="8"/>
      <c r="C31" s="8"/>
      <c r="D31" s="8"/>
      <c r="E31" s="8"/>
      <c r="F31" s="8"/>
    </row>
    <row r="32" spans="1:6" ht="24.95" customHeight="1" x14ac:dyDescent="0.2">
      <c r="A32" s="8"/>
      <c r="B32" s="8"/>
      <c r="C32" s="8"/>
      <c r="D32" s="8"/>
      <c r="E32" s="8"/>
      <c r="F32" s="8"/>
    </row>
    <row r="33" spans="1:6" ht="24.95" customHeight="1" x14ac:dyDescent="0.2">
      <c r="A33" s="8"/>
      <c r="B33" s="8"/>
      <c r="C33" s="8"/>
      <c r="D33" s="8"/>
      <c r="E33" s="8"/>
      <c r="F33" s="8"/>
    </row>
    <row r="34" spans="1:6" ht="24.95" customHeight="1" x14ac:dyDescent="0.2">
      <c r="A34" s="1"/>
      <c r="B34" s="1"/>
      <c r="C34" s="1"/>
      <c r="D34" s="1"/>
      <c r="E34" s="2"/>
    </row>
    <row r="35" spans="1:6" ht="24.95" customHeight="1" x14ac:dyDescent="0.2">
      <c r="A35" s="1"/>
      <c r="B35" s="1"/>
      <c r="C35" s="1"/>
      <c r="D35" s="1"/>
      <c r="E35" s="2"/>
    </row>
  </sheetData>
  <autoFilter ref="A6:F6" xr:uid="{00000000-0001-0000-0000-000000000000}">
    <sortState xmlns:xlrd2="http://schemas.microsoft.com/office/spreadsheetml/2017/richdata2" ref="A7:F13">
      <sortCondition ref="D6"/>
    </sortState>
  </autoFilter>
  <phoneticPr fontId="7" type="noConversion"/>
  <hyperlinks>
    <hyperlink ref="L2" r:id="rId1" xr:uid="{E1246023-33B4-4743-A8C7-1AB11FEAEE5F}"/>
    <hyperlink ref="L8" r:id="rId2" xr:uid="{2BC810F8-18EE-434D-B141-2E51F38334F4}"/>
    <hyperlink ref="L9" r:id="rId3" xr:uid="{533353A3-43DF-4FEF-8D5D-32EE90789872}"/>
    <hyperlink ref="M9" r:id="rId4" xr:uid="{5D9A9D36-552D-4560-BF88-4A3BE1ACE9B3}"/>
    <hyperlink ref="L10" r:id="rId5" xr:uid="{3B9EF125-91D4-44D5-8B7F-73AF52AB5BF3}"/>
    <hyperlink ref="L3" r:id="rId6" xr:uid="{B141BF12-BB29-4427-94C0-4C5658C27098}"/>
  </hyperlinks>
  <pageMargins left="0.7" right="0.7" top="0.75" bottom="0.75" header="0.3" footer="0.3"/>
  <pageSetup paperSize="9" orientation="portrait" horizontalDpi="1200" verticalDpi="1200" r:id="rId7"/>
  <drawing r:id="rId8"/>
  <legacyDrawing r:id="rId9"/>
  <controls>
    <mc:AlternateContent xmlns:mc="http://schemas.openxmlformats.org/markup-compatibility/2006">
      <mc:Choice Requires="x14">
        <control shapeId="1030" r:id="rId10" name="CORREO_NUEVO">
          <controlPr defaultSize="0" autoLine="0" r:id="rId11">
            <anchor moveWithCells="1">
              <from>
                <xdr:col>10</xdr:col>
                <xdr:colOff>0</xdr:colOff>
                <xdr:row>4</xdr:row>
                <xdr:rowOff>95250</xdr:rowOff>
              </from>
              <to>
                <xdr:col>11</xdr:col>
                <xdr:colOff>2371725</xdr:colOff>
                <xdr:row>5</xdr:row>
                <xdr:rowOff>276225</xdr:rowOff>
              </to>
            </anchor>
          </controlPr>
        </control>
      </mc:Choice>
      <mc:Fallback>
        <control shapeId="1030" r:id="rId10" name="CORREO_NUEVO"/>
      </mc:Fallback>
    </mc:AlternateContent>
    <mc:AlternateContent xmlns:mc="http://schemas.openxmlformats.org/markup-compatibility/2006">
      <mc:Choice Requires="x14">
        <control shapeId="1031" r:id="rId12" name="Button 7">
          <controlPr defaultSize="0" print="0" autoFill="0" autoPict="0" macro="[0]!Hoja1.CORREO_NUEVO_Click">
            <anchor moveWithCells="1">
              <from>
                <xdr:col>7</xdr:col>
                <xdr:colOff>0</xdr:colOff>
                <xdr:row>4</xdr:row>
                <xdr:rowOff>47625</xdr:rowOff>
              </from>
              <to>
                <xdr:col>11</xdr:col>
                <xdr:colOff>2562225</xdr:colOff>
                <xdr:row>6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A5793-3B8F-4CCF-AA47-9CE76055BF74}">
  <sheetPr codeName="Hoja2"/>
  <dimension ref="A1:K117"/>
  <sheetViews>
    <sheetView topLeftCell="A81" workbookViewId="0">
      <selection activeCell="A117" sqref="A117:E117"/>
    </sheetView>
  </sheetViews>
  <sheetFormatPr baseColWidth="10" defaultRowHeight="15" x14ac:dyDescent="0.25"/>
  <cols>
    <col min="1" max="1" width="17" style="4" bestFit="1" customWidth="1"/>
    <col min="2" max="4" width="11.42578125" style="4"/>
    <col min="5" max="5" width="23.42578125" style="4" bestFit="1" customWidth="1"/>
  </cols>
  <sheetData>
    <row r="1" spans="1:11" x14ac:dyDescent="0.25">
      <c r="A1" s="3" t="s">
        <v>2</v>
      </c>
      <c r="B1" s="3" t="s">
        <v>3</v>
      </c>
      <c r="C1" s="3" t="s">
        <v>0</v>
      </c>
      <c r="D1" s="3" t="s">
        <v>1</v>
      </c>
      <c r="E1" s="3" t="s">
        <v>6</v>
      </c>
      <c r="F1" s="3" t="s">
        <v>36</v>
      </c>
      <c r="J1" t="s">
        <v>23</v>
      </c>
      <c r="K1" t="s">
        <v>0</v>
      </c>
    </row>
    <row r="2" spans="1:11" x14ac:dyDescent="0.25">
      <c r="A2" s="4" t="s">
        <v>37</v>
      </c>
      <c r="B2" s="4" t="s">
        <v>38</v>
      </c>
      <c r="C2" s="4" t="s">
        <v>25</v>
      </c>
      <c r="D2" s="4" t="s">
        <v>21</v>
      </c>
      <c r="E2" s="4" t="s">
        <v>39</v>
      </c>
      <c r="F2" s="5">
        <v>44998</v>
      </c>
      <c r="J2">
        <v>10120</v>
      </c>
      <c r="K2" t="s">
        <v>26</v>
      </c>
    </row>
    <row r="3" spans="1:11" x14ac:dyDescent="0.25">
      <c r="A3" s="4" t="s">
        <v>37</v>
      </c>
      <c r="B3" s="4" t="s">
        <v>41</v>
      </c>
      <c r="C3" s="4" t="s">
        <v>25</v>
      </c>
      <c r="D3" s="4" t="s">
        <v>21</v>
      </c>
      <c r="E3" s="4" t="s">
        <v>40</v>
      </c>
      <c r="F3" s="5">
        <v>44998</v>
      </c>
      <c r="J3">
        <v>10160</v>
      </c>
      <c r="K3" t="s">
        <v>20</v>
      </c>
    </row>
    <row r="4" spans="1:11" x14ac:dyDescent="0.25">
      <c r="A4" s="4" t="s">
        <v>44</v>
      </c>
      <c r="B4" s="4" t="s">
        <v>43</v>
      </c>
      <c r="C4" s="4" t="s">
        <v>20</v>
      </c>
      <c r="D4" s="4" t="s">
        <v>21</v>
      </c>
      <c r="E4" s="4" t="s">
        <v>42</v>
      </c>
      <c r="F4" s="5">
        <v>44998</v>
      </c>
      <c r="J4">
        <v>10230</v>
      </c>
      <c r="K4" t="s">
        <v>25</v>
      </c>
    </row>
    <row r="5" spans="1:11" x14ac:dyDescent="0.25">
      <c r="A5" s="4" t="s">
        <v>44</v>
      </c>
      <c r="B5" s="4" t="s">
        <v>45</v>
      </c>
      <c r="C5" s="4" t="s">
        <v>20</v>
      </c>
      <c r="D5" s="4" t="s">
        <v>21</v>
      </c>
      <c r="E5" s="4" t="s">
        <v>46</v>
      </c>
      <c r="F5" s="5">
        <v>44998</v>
      </c>
      <c r="J5">
        <v>10330</v>
      </c>
      <c r="K5" t="s">
        <v>24</v>
      </c>
    </row>
    <row r="6" spans="1:11" x14ac:dyDescent="0.25">
      <c r="A6" s="4" t="s">
        <v>47</v>
      </c>
      <c r="B6" s="4" t="s">
        <v>38</v>
      </c>
      <c r="C6" s="4" t="s">
        <v>48</v>
      </c>
      <c r="D6" s="4" t="s">
        <v>49</v>
      </c>
      <c r="E6" s="4" t="s">
        <v>50</v>
      </c>
      <c r="F6" s="5">
        <v>44998</v>
      </c>
      <c r="J6">
        <v>10370</v>
      </c>
      <c r="K6" t="s">
        <v>31</v>
      </c>
    </row>
    <row r="7" spans="1:11" x14ac:dyDescent="0.25">
      <c r="A7" s="4" t="s">
        <v>51</v>
      </c>
      <c r="B7" s="4" t="s">
        <v>38</v>
      </c>
      <c r="C7" s="4" t="s">
        <v>35</v>
      </c>
      <c r="D7" s="4" t="s">
        <v>49</v>
      </c>
      <c r="E7" s="4" t="s">
        <v>50</v>
      </c>
      <c r="F7" s="5">
        <v>44998</v>
      </c>
      <c r="J7">
        <v>10380</v>
      </c>
      <c r="K7" t="s">
        <v>27</v>
      </c>
    </row>
    <row r="8" spans="1:11" x14ac:dyDescent="0.25">
      <c r="A8" s="4" t="s">
        <v>53</v>
      </c>
      <c r="B8" s="4" t="s">
        <v>38</v>
      </c>
      <c r="C8" s="4" t="s">
        <v>32</v>
      </c>
      <c r="D8" s="4" t="s">
        <v>49</v>
      </c>
      <c r="E8" s="4" t="s">
        <v>52</v>
      </c>
      <c r="F8" s="5">
        <v>44999</v>
      </c>
      <c r="J8">
        <v>10400</v>
      </c>
      <c r="K8" t="s">
        <v>28</v>
      </c>
    </row>
    <row r="9" spans="1:11" x14ac:dyDescent="0.25">
      <c r="A9" s="4" t="s">
        <v>58</v>
      </c>
      <c r="B9" s="4" t="s">
        <v>38</v>
      </c>
      <c r="C9" s="4" t="s">
        <v>33</v>
      </c>
      <c r="D9" s="4" t="s">
        <v>49</v>
      </c>
      <c r="E9" s="4" t="s">
        <v>59</v>
      </c>
      <c r="F9" s="5">
        <v>44999</v>
      </c>
      <c r="J9">
        <v>10428</v>
      </c>
      <c r="K9" t="s">
        <v>29</v>
      </c>
    </row>
    <row r="10" spans="1:11" x14ac:dyDescent="0.25">
      <c r="A10" s="4" t="s">
        <v>58</v>
      </c>
      <c r="B10" s="4" t="s">
        <v>38</v>
      </c>
      <c r="C10" s="4" t="s">
        <v>33</v>
      </c>
      <c r="D10" s="4" t="s">
        <v>49</v>
      </c>
      <c r="E10" s="4" t="s">
        <v>60</v>
      </c>
      <c r="F10" s="5">
        <v>45009</v>
      </c>
      <c r="J10">
        <v>10430</v>
      </c>
      <c r="K10" t="s">
        <v>30</v>
      </c>
    </row>
    <row r="11" spans="1:11" x14ac:dyDescent="0.25">
      <c r="A11" s="4" t="s">
        <v>62</v>
      </c>
      <c r="B11" s="4" t="s">
        <v>38</v>
      </c>
      <c r="C11" s="4" t="s">
        <v>63</v>
      </c>
      <c r="D11" s="4" t="s">
        <v>61</v>
      </c>
      <c r="E11" s="4" t="s">
        <v>64</v>
      </c>
      <c r="F11" s="5">
        <v>45028</v>
      </c>
      <c r="J11">
        <v>70215</v>
      </c>
      <c r="K11" t="s">
        <v>32</v>
      </c>
    </row>
    <row r="12" spans="1:11" x14ac:dyDescent="0.25">
      <c r="A12" s="4" t="s">
        <v>65</v>
      </c>
      <c r="B12" s="4" t="s">
        <v>38</v>
      </c>
      <c r="C12" s="4" t="s">
        <v>20</v>
      </c>
      <c r="D12" s="4" t="s">
        <v>21</v>
      </c>
      <c r="E12" s="4" t="s">
        <v>66</v>
      </c>
      <c r="F12" s="5">
        <v>45033</v>
      </c>
      <c r="J12">
        <v>70225</v>
      </c>
      <c r="K12" t="s">
        <v>33</v>
      </c>
    </row>
    <row r="13" spans="1:11" x14ac:dyDescent="0.25">
      <c r="A13" s="4" t="s">
        <v>67</v>
      </c>
      <c r="B13" s="4" t="s">
        <v>38</v>
      </c>
      <c r="C13" s="4" t="s">
        <v>68</v>
      </c>
      <c r="D13" s="4" t="s">
        <v>69</v>
      </c>
      <c r="E13" s="4" t="s">
        <v>70</v>
      </c>
      <c r="F13" s="5">
        <v>45033</v>
      </c>
      <c r="J13">
        <v>70230</v>
      </c>
      <c r="K13" t="s">
        <v>34</v>
      </c>
    </row>
    <row r="14" spans="1:11" x14ac:dyDescent="0.25">
      <c r="A14" s="4" t="s">
        <v>58</v>
      </c>
      <c r="B14" s="4" t="s">
        <v>38</v>
      </c>
      <c r="C14" s="4" t="s">
        <v>71</v>
      </c>
      <c r="D14" s="4" t="s">
        <v>49</v>
      </c>
      <c r="E14" s="4" t="s">
        <v>72</v>
      </c>
      <c r="F14" s="5">
        <v>45034</v>
      </c>
      <c r="J14">
        <v>70240</v>
      </c>
      <c r="K14" t="s">
        <v>35</v>
      </c>
    </row>
    <row r="15" spans="1:11" x14ac:dyDescent="0.25">
      <c r="A15" s="4" t="s">
        <v>67</v>
      </c>
      <c r="B15" s="4" t="s">
        <v>38</v>
      </c>
      <c r="C15" s="4" t="s">
        <v>68</v>
      </c>
      <c r="D15" s="4" t="s">
        <v>69</v>
      </c>
      <c r="E15" s="4" t="s">
        <v>73</v>
      </c>
      <c r="F15" s="5">
        <v>45035</v>
      </c>
    </row>
    <row r="16" spans="1:11" x14ac:dyDescent="0.25">
      <c r="A16" s="4" t="s">
        <v>74</v>
      </c>
      <c r="B16" s="4" t="s">
        <v>38</v>
      </c>
      <c r="C16" s="4" t="s">
        <v>75</v>
      </c>
      <c r="D16" s="4" t="s">
        <v>61</v>
      </c>
      <c r="E16" s="4" t="s">
        <v>76</v>
      </c>
      <c r="F16" s="5">
        <v>45036</v>
      </c>
    </row>
    <row r="17" spans="1:6" x14ac:dyDescent="0.25">
      <c r="A17" s="4" t="s">
        <v>77</v>
      </c>
      <c r="B17" s="4" t="s">
        <v>78</v>
      </c>
      <c r="C17" s="4" t="s">
        <v>79</v>
      </c>
      <c r="D17" s="4" t="s">
        <v>69</v>
      </c>
      <c r="E17" s="4" t="s">
        <v>80</v>
      </c>
      <c r="F17" s="5">
        <v>45040</v>
      </c>
    </row>
    <row r="18" spans="1:6" x14ac:dyDescent="0.25">
      <c r="A18" s="4" t="s">
        <v>81</v>
      </c>
      <c r="B18" s="4" t="s">
        <v>38</v>
      </c>
      <c r="C18" s="4" t="s">
        <v>20</v>
      </c>
      <c r="D18" s="4" t="s">
        <v>69</v>
      </c>
      <c r="E18" s="4" t="s">
        <v>82</v>
      </c>
      <c r="F18" s="5">
        <v>45040</v>
      </c>
    </row>
    <row r="19" spans="1:6" x14ac:dyDescent="0.25">
      <c r="A19" s="4" t="s">
        <v>62</v>
      </c>
      <c r="B19" s="4" t="s">
        <v>38</v>
      </c>
      <c r="C19" s="4" t="s">
        <v>83</v>
      </c>
      <c r="D19" s="4" t="s">
        <v>61</v>
      </c>
      <c r="E19" s="4" t="s">
        <v>84</v>
      </c>
      <c r="F19" s="5">
        <v>45063</v>
      </c>
    </row>
    <row r="20" spans="1:6" x14ac:dyDescent="0.25">
      <c r="A20" s="4" t="s">
        <v>85</v>
      </c>
      <c r="B20" s="4" t="s">
        <v>38</v>
      </c>
      <c r="C20" s="4" t="s">
        <v>86</v>
      </c>
      <c r="D20" s="4" t="s">
        <v>21</v>
      </c>
      <c r="E20" s="4" t="s">
        <v>87</v>
      </c>
      <c r="F20" s="5">
        <v>45065</v>
      </c>
    </row>
    <row r="21" spans="1:6" x14ac:dyDescent="0.25">
      <c r="A21" s="4" t="s">
        <v>88</v>
      </c>
      <c r="B21" s="4" t="s">
        <v>38</v>
      </c>
      <c r="C21" s="4" t="s">
        <v>28</v>
      </c>
      <c r="D21" s="4" t="s">
        <v>89</v>
      </c>
      <c r="E21" s="4" t="s">
        <v>90</v>
      </c>
      <c r="F21" s="5">
        <v>45065</v>
      </c>
    </row>
    <row r="22" spans="1:6" x14ac:dyDescent="0.25">
      <c r="A22" s="4" t="s">
        <v>92</v>
      </c>
      <c r="B22" s="4" t="s">
        <v>38</v>
      </c>
      <c r="C22" s="4" t="s">
        <v>27</v>
      </c>
      <c r="D22" s="4" t="s">
        <v>69</v>
      </c>
      <c r="E22" s="4" t="s">
        <v>91</v>
      </c>
      <c r="F22" s="5">
        <v>45065</v>
      </c>
    </row>
    <row r="23" spans="1:6" x14ac:dyDescent="0.25">
      <c r="A23" s="4" t="s">
        <v>92</v>
      </c>
      <c r="B23" s="4" t="s">
        <v>38</v>
      </c>
      <c r="C23" s="4" t="s">
        <v>27</v>
      </c>
      <c r="D23" s="4" t="s">
        <v>69</v>
      </c>
      <c r="E23" s="4" t="s">
        <v>93</v>
      </c>
      <c r="F23" s="5">
        <v>45068</v>
      </c>
    </row>
    <row r="24" spans="1:6" x14ac:dyDescent="0.25">
      <c r="A24" s="4" t="s">
        <v>67</v>
      </c>
      <c r="B24" s="4" t="s">
        <v>38</v>
      </c>
      <c r="C24" s="4" t="s">
        <v>63</v>
      </c>
      <c r="D24" s="4" t="s">
        <v>69</v>
      </c>
      <c r="E24" s="4" t="s">
        <v>94</v>
      </c>
      <c r="F24" s="5">
        <v>45085</v>
      </c>
    </row>
    <row r="25" spans="1:6" x14ac:dyDescent="0.25">
      <c r="A25" s="4" t="s">
        <v>95</v>
      </c>
      <c r="B25" s="4" t="s">
        <v>38</v>
      </c>
      <c r="C25" s="4" t="s">
        <v>63</v>
      </c>
      <c r="D25" s="4" t="s">
        <v>49</v>
      </c>
      <c r="E25" s="4" t="s">
        <v>96</v>
      </c>
      <c r="F25" s="5">
        <v>45112</v>
      </c>
    </row>
    <row r="26" spans="1:6" x14ac:dyDescent="0.25">
      <c r="A26" s="4" t="s">
        <v>97</v>
      </c>
      <c r="B26" s="4" t="s">
        <v>38</v>
      </c>
      <c r="C26" s="4" t="s">
        <v>98</v>
      </c>
      <c r="D26" s="4" t="s">
        <v>99</v>
      </c>
      <c r="E26" s="4" t="s">
        <v>100</v>
      </c>
      <c r="F26" s="5">
        <v>45128</v>
      </c>
    </row>
    <row r="27" spans="1:6" x14ac:dyDescent="0.25">
      <c r="A27" s="4" t="s">
        <v>101</v>
      </c>
      <c r="B27" s="4" t="s">
        <v>38</v>
      </c>
      <c r="C27" s="4" t="s">
        <v>25</v>
      </c>
      <c r="D27" s="4" t="s">
        <v>21</v>
      </c>
      <c r="E27" s="4" t="s">
        <v>102</v>
      </c>
      <c r="F27" s="5">
        <v>45131</v>
      </c>
    </row>
    <row r="28" spans="1:6" x14ac:dyDescent="0.25">
      <c r="A28" s="4" t="s">
        <v>85</v>
      </c>
      <c r="B28" s="4" t="s">
        <v>38</v>
      </c>
      <c r="C28" s="4" t="s">
        <v>86</v>
      </c>
      <c r="D28" s="4" t="s">
        <v>103</v>
      </c>
      <c r="E28" s="4">
        <v>8005710911</v>
      </c>
      <c r="F28" s="5">
        <v>45133</v>
      </c>
    </row>
    <row r="29" spans="1:6" x14ac:dyDescent="0.25">
      <c r="A29" s="4" t="s">
        <v>85</v>
      </c>
      <c r="B29" s="4" t="s">
        <v>38</v>
      </c>
      <c r="C29" s="4" t="s">
        <v>86</v>
      </c>
      <c r="D29" s="4" t="s">
        <v>103</v>
      </c>
      <c r="E29" s="4" t="s">
        <v>104</v>
      </c>
      <c r="F29" s="5">
        <v>45134</v>
      </c>
    </row>
    <row r="30" spans="1:6" x14ac:dyDescent="0.25">
      <c r="A30" s="4" t="s">
        <v>106</v>
      </c>
      <c r="B30" s="4" t="s">
        <v>38</v>
      </c>
      <c r="C30" s="4" t="s">
        <v>107</v>
      </c>
      <c r="D30" s="4" t="s">
        <v>49</v>
      </c>
      <c r="E30" s="4" t="s">
        <v>105</v>
      </c>
      <c r="F30" s="5">
        <v>45134</v>
      </c>
    </row>
    <row r="31" spans="1:6" x14ac:dyDescent="0.25">
      <c r="A31" s="4" t="s">
        <v>108</v>
      </c>
      <c r="B31" s="4" t="s">
        <v>38</v>
      </c>
      <c r="C31" s="4" t="s">
        <v>109</v>
      </c>
      <c r="D31" s="4" t="s">
        <v>61</v>
      </c>
      <c r="E31" s="4" t="s">
        <v>110</v>
      </c>
      <c r="F31" s="5">
        <v>45245</v>
      </c>
    </row>
    <row r="32" spans="1:6" x14ac:dyDescent="0.25">
      <c r="A32" s="4" t="s">
        <v>111</v>
      </c>
      <c r="B32" s="4" t="s">
        <v>112</v>
      </c>
      <c r="C32" s="4" t="s">
        <v>25</v>
      </c>
      <c r="D32" s="4" t="s">
        <v>49</v>
      </c>
      <c r="E32" s="4" t="s">
        <v>113</v>
      </c>
      <c r="F32" s="5">
        <v>45260</v>
      </c>
    </row>
    <row r="33" spans="1:6" x14ac:dyDescent="0.25">
      <c r="A33" s="4" t="s">
        <v>106</v>
      </c>
      <c r="B33" s="4" t="s">
        <v>38</v>
      </c>
      <c r="C33" s="4" t="s">
        <v>31</v>
      </c>
      <c r="D33" s="4" t="s">
        <v>49</v>
      </c>
      <c r="E33" s="4" t="s">
        <v>114</v>
      </c>
      <c r="F33" s="5">
        <v>45264</v>
      </c>
    </row>
    <row r="34" spans="1:6" x14ac:dyDescent="0.25">
      <c r="A34" s="4" t="s">
        <v>106</v>
      </c>
      <c r="B34" s="4" t="s">
        <v>38</v>
      </c>
      <c r="C34" s="4" t="s">
        <v>31</v>
      </c>
      <c r="D34" s="4" t="s">
        <v>49</v>
      </c>
      <c r="E34" s="4" t="s">
        <v>115</v>
      </c>
      <c r="F34" s="5">
        <v>45271</v>
      </c>
    </row>
    <row r="35" spans="1:6" x14ac:dyDescent="0.25">
      <c r="A35" s="4" t="s">
        <v>106</v>
      </c>
      <c r="B35" s="4" t="s">
        <v>38</v>
      </c>
      <c r="C35" s="4" t="s">
        <v>31</v>
      </c>
      <c r="D35" s="4" t="s">
        <v>49</v>
      </c>
      <c r="E35" s="4" t="s">
        <v>116</v>
      </c>
      <c r="F35" s="5">
        <v>45294</v>
      </c>
    </row>
    <row r="36" spans="1:6" x14ac:dyDescent="0.25">
      <c r="A36" s="4" t="s">
        <v>111</v>
      </c>
      <c r="B36" s="4" t="s">
        <v>118</v>
      </c>
      <c r="C36" s="4" t="s">
        <v>119</v>
      </c>
      <c r="D36" s="4" t="s">
        <v>49</v>
      </c>
      <c r="E36" s="4" t="s">
        <v>120</v>
      </c>
      <c r="F36" s="5">
        <v>45299</v>
      </c>
    </row>
    <row r="37" spans="1:6" x14ac:dyDescent="0.25">
      <c r="A37" s="4" t="s">
        <v>122</v>
      </c>
      <c r="B37" s="4" t="s">
        <v>38</v>
      </c>
      <c r="C37" s="4" t="s">
        <v>123</v>
      </c>
      <c r="D37" s="4" t="s">
        <v>49</v>
      </c>
      <c r="E37" s="4" t="s">
        <v>124</v>
      </c>
      <c r="F37" s="5">
        <v>45777</v>
      </c>
    </row>
    <row r="38" spans="1:6" x14ac:dyDescent="0.25">
      <c r="A38" s="4" t="s">
        <v>130</v>
      </c>
      <c r="B38" s="4" t="s">
        <v>38</v>
      </c>
      <c r="C38" s="4" t="s">
        <v>131</v>
      </c>
      <c r="D38" s="4" t="s">
        <v>61</v>
      </c>
      <c r="E38" s="4" t="s">
        <v>132</v>
      </c>
      <c r="F38" s="5">
        <v>45783</v>
      </c>
    </row>
    <row r="39" spans="1:6" x14ac:dyDescent="0.25">
      <c r="A39" s="4" t="s">
        <v>130</v>
      </c>
      <c r="B39" s="4" t="s">
        <v>38</v>
      </c>
      <c r="C39" s="4" t="s">
        <v>131</v>
      </c>
      <c r="D39" s="4" t="s">
        <v>61</v>
      </c>
      <c r="E39" s="4" t="s">
        <v>133</v>
      </c>
      <c r="F39" s="5">
        <v>45783</v>
      </c>
    </row>
    <row r="40" spans="1:6" x14ac:dyDescent="0.25">
      <c r="A40" s="4" t="s">
        <v>134</v>
      </c>
      <c r="B40" s="4" t="s">
        <v>38</v>
      </c>
      <c r="C40" s="4" t="s">
        <v>136</v>
      </c>
      <c r="D40" s="4" t="s">
        <v>61</v>
      </c>
      <c r="E40" s="4" t="s">
        <v>135</v>
      </c>
      <c r="F40" s="5">
        <v>45810</v>
      </c>
    </row>
    <row r="41" spans="1:6" x14ac:dyDescent="0.25">
      <c r="A41" s="4" t="s">
        <v>137</v>
      </c>
      <c r="B41" s="4" t="s">
        <v>38</v>
      </c>
      <c r="C41" s="4" t="s">
        <v>138</v>
      </c>
      <c r="D41" s="4" t="s">
        <v>21</v>
      </c>
      <c r="E41" s="4" t="s">
        <v>139</v>
      </c>
      <c r="F41" s="5">
        <v>45810</v>
      </c>
    </row>
    <row r="42" spans="1:6" x14ac:dyDescent="0.25">
      <c r="A42" s="4" t="s">
        <v>140</v>
      </c>
      <c r="B42" s="4" t="s">
        <v>38</v>
      </c>
      <c r="C42" s="4" t="s">
        <v>142</v>
      </c>
      <c r="D42" s="4" t="s">
        <v>61</v>
      </c>
      <c r="E42" s="4" t="s">
        <v>141</v>
      </c>
      <c r="F42" s="5">
        <v>45812</v>
      </c>
    </row>
    <row r="43" spans="1:6" x14ac:dyDescent="0.25">
      <c r="A43" s="4" t="s">
        <v>134</v>
      </c>
      <c r="B43" s="4" t="s">
        <v>38</v>
      </c>
      <c r="C43" s="4" t="s">
        <v>136</v>
      </c>
      <c r="D43" s="4" t="s">
        <v>61</v>
      </c>
      <c r="E43" s="4" t="s">
        <v>143</v>
      </c>
      <c r="F43" s="5">
        <v>45813</v>
      </c>
    </row>
    <row r="44" spans="1:6" x14ac:dyDescent="0.25">
      <c r="A44" s="4" t="s">
        <v>144</v>
      </c>
      <c r="B44" s="4" t="s">
        <v>38</v>
      </c>
      <c r="C44" s="4" t="s">
        <v>145</v>
      </c>
      <c r="D44" s="4" t="s">
        <v>49</v>
      </c>
      <c r="E44" s="4" t="s">
        <v>146</v>
      </c>
      <c r="F44" s="5">
        <v>45819</v>
      </c>
    </row>
    <row r="45" spans="1:6" x14ac:dyDescent="0.25">
      <c r="A45" s="4" t="s">
        <v>140</v>
      </c>
      <c r="B45" s="4" t="s">
        <v>38</v>
      </c>
      <c r="C45" s="4" t="s">
        <v>142</v>
      </c>
      <c r="D45" s="4" t="s">
        <v>61</v>
      </c>
      <c r="E45" s="4" t="s">
        <v>147</v>
      </c>
      <c r="F45" s="5">
        <v>45819</v>
      </c>
    </row>
    <row r="46" spans="1:6" x14ac:dyDescent="0.25">
      <c r="A46" s="4" t="s">
        <v>130</v>
      </c>
      <c r="B46" s="4" t="s">
        <v>38</v>
      </c>
      <c r="C46" s="4" t="s">
        <v>131</v>
      </c>
      <c r="D46" s="4" t="s">
        <v>61</v>
      </c>
      <c r="E46" s="4" t="s">
        <v>148</v>
      </c>
      <c r="F46" s="5">
        <v>45819</v>
      </c>
    </row>
    <row r="47" spans="1:6" x14ac:dyDescent="0.25">
      <c r="A47" s="4" t="s">
        <v>144</v>
      </c>
      <c r="B47" s="4" t="s">
        <v>38</v>
      </c>
      <c r="C47" s="4" t="s">
        <v>145</v>
      </c>
      <c r="D47" s="4" t="s">
        <v>49</v>
      </c>
      <c r="E47" s="4" t="s">
        <v>149</v>
      </c>
      <c r="F47" s="5">
        <v>45820</v>
      </c>
    </row>
    <row r="48" spans="1:6" x14ac:dyDescent="0.25">
      <c r="A48" s="4" t="s">
        <v>144</v>
      </c>
      <c r="B48" s="4" t="s">
        <v>38</v>
      </c>
      <c r="C48" s="4" t="s">
        <v>145</v>
      </c>
      <c r="D48" s="4" t="s">
        <v>49</v>
      </c>
      <c r="E48" s="4" t="s">
        <v>150</v>
      </c>
      <c r="F48" s="5">
        <v>45820</v>
      </c>
    </row>
    <row r="49" spans="1:6" x14ac:dyDescent="0.25">
      <c r="A49" s="4" t="s">
        <v>130</v>
      </c>
      <c r="B49" s="4" t="s">
        <v>38</v>
      </c>
      <c r="C49" s="4" t="s">
        <v>151</v>
      </c>
      <c r="D49" s="4" t="s">
        <v>61</v>
      </c>
      <c r="E49" s="4" t="s">
        <v>152</v>
      </c>
      <c r="F49" s="5">
        <v>45820</v>
      </c>
    </row>
    <row r="50" spans="1:6" x14ac:dyDescent="0.25">
      <c r="A50" s="4" t="s">
        <v>134</v>
      </c>
      <c r="B50" s="4" t="s">
        <v>38</v>
      </c>
      <c r="C50" s="4" t="s">
        <v>153</v>
      </c>
      <c r="D50" s="4" t="s">
        <v>61</v>
      </c>
      <c r="E50" s="4" t="s">
        <v>154</v>
      </c>
      <c r="F50" s="5">
        <v>45821</v>
      </c>
    </row>
    <row r="51" spans="1:6" x14ac:dyDescent="0.25">
      <c r="A51" s="4" t="s">
        <v>155</v>
      </c>
      <c r="B51" s="4" t="s">
        <v>38</v>
      </c>
      <c r="C51" s="4" t="s">
        <v>156</v>
      </c>
      <c r="D51" s="4" t="s">
        <v>49</v>
      </c>
      <c r="E51" s="4" t="s">
        <v>157</v>
      </c>
      <c r="F51" s="5">
        <v>45824</v>
      </c>
    </row>
    <row r="52" spans="1:6" x14ac:dyDescent="0.25">
      <c r="A52" s="4" t="s">
        <v>158</v>
      </c>
      <c r="B52" s="4" t="s">
        <v>38</v>
      </c>
      <c r="C52" s="4" t="s">
        <v>159</v>
      </c>
      <c r="D52" s="4" t="s">
        <v>61</v>
      </c>
      <c r="E52" s="4" t="s">
        <v>160</v>
      </c>
      <c r="F52" s="5">
        <v>45825</v>
      </c>
    </row>
    <row r="53" spans="1:6" x14ac:dyDescent="0.25">
      <c r="A53" s="4" t="s">
        <v>130</v>
      </c>
      <c r="B53" s="4" t="s">
        <v>38</v>
      </c>
      <c r="C53" s="4" t="s">
        <v>161</v>
      </c>
      <c r="D53" s="4" t="s">
        <v>61</v>
      </c>
      <c r="E53" s="4" t="s">
        <v>162</v>
      </c>
      <c r="F53" s="5">
        <v>45825</v>
      </c>
    </row>
    <row r="54" spans="1:6" x14ac:dyDescent="0.25">
      <c r="A54" s="4" t="s">
        <v>163</v>
      </c>
      <c r="B54" s="4" t="s">
        <v>38</v>
      </c>
      <c r="C54" s="4" t="s">
        <v>165</v>
      </c>
      <c r="D54" s="4" t="s">
        <v>166</v>
      </c>
      <c r="E54" s="4" t="s">
        <v>164</v>
      </c>
      <c r="F54" s="5">
        <v>45826</v>
      </c>
    </row>
    <row r="55" spans="1:6" x14ac:dyDescent="0.25">
      <c r="A55" s="4" t="s">
        <v>167</v>
      </c>
      <c r="B55" s="4" t="s">
        <v>38</v>
      </c>
      <c r="C55" s="4" t="s">
        <v>165</v>
      </c>
      <c r="D55" s="4" t="s">
        <v>166</v>
      </c>
      <c r="E55" s="4" t="s">
        <v>168</v>
      </c>
      <c r="F55" s="5">
        <v>45826</v>
      </c>
    </row>
    <row r="56" spans="1:6" x14ac:dyDescent="0.25">
      <c r="A56" s="4" t="s">
        <v>130</v>
      </c>
      <c r="B56" s="4" t="s">
        <v>38</v>
      </c>
      <c r="C56" s="4" t="s">
        <v>161</v>
      </c>
      <c r="D56" s="4" t="s">
        <v>61</v>
      </c>
      <c r="E56" s="4" t="s">
        <v>169</v>
      </c>
      <c r="F56" s="5">
        <v>45828</v>
      </c>
    </row>
    <row r="57" spans="1:6" x14ac:dyDescent="0.25">
      <c r="A57" s="4" t="s">
        <v>134</v>
      </c>
      <c r="B57" s="4" t="s">
        <v>38</v>
      </c>
      <c r="C57" s="4" t="s">
        <v>153</v>
      </c>
      <c r="D57" s="4" t="s">
        <v>61</v>
      </c>
      <c r="E57" s="4" t="s">
        <v>170</v>
      </c>
      <c r="F57" s="5">
        <v>45831</v>
      </c>
    </row>
    <row r="58" spans="1:6" x14ac:dyDescent="0.25">
      <c r="A58" s="4" t="s">
        <v>155</v>
      </c>
      <c r="B58" s="4" t="s">
        <v>38</v>
      </c>
      <c r="C58" s="4" t="s">
        <v>156</v>
      </c>
      <c r="D58" s="4" t="s">
        <v>49</v>
      </c>
      <c r="E58" s="4" t="s">
        <v>171</v>
      </c>
      <c r="F58" s="5">
        <v>45835</v>
      </c>
    </row>
    <row r="59" spans="1:6" x14ac:dyDescent="0.25">
      <c r="A59" s="4" t="s">
        <v>130</v>
      </c>
      <c r="B59" s="4" t="s">
        <v>38</v>
      </c>
      <c r="C59" s="4" t="s">
        <v>161</v>
      </c>
      <c r="D59" s="4" t="s">
        <v>61</v>
      </c>
      <c r="E59" s="4" t="s">
        <v>227</v>
      </c>
      <c r="F59" s="5">
        <v>45839</v>
      </c>
    </row>
    <row r="60" spans="1:6" x14ac:dyDescent="0.25">
      <c r="A60" s="4" t="s">
        <v>172</v>
      </c>
      <c r="B60" s="4" t="s">
        <v>38</v>
      </c>
      <c r="C60" s="4" t="s">
        <v>173</v>
      </c>
      <c r="D60" s="4" t="s">
        <v>49</v>
      </c>
      <c r="E60" s="4" t="s">
        <v>174</v>
      </c>
      <c r="F60" s="5">
        <v>45840</v>
      </c>
    </row>
    <row r="61" spans="1:6" x14ac:dyDescent="0.25">
      <c r="A61" s="4" t="s">
        <v>175</v>
      </c>
      <c r="B61" s="4" t="s">
        <v>38</v>
      </c>
      <c r="C61" s="4" t="s">
        <v>136</v>
      </c>
      <c r="D61" s="4" t="s">
        <v>61</v>
      </c>
      <c r="E61" s="4" t="s">
        <v>176</v>
      </c>
      <c r="F61" s="5">
        <v>45847</v>
      </c>
    </row>
    <row r="62" spans="1:6" x14ac:dyDescent="0.25">
      <c r="A62" s="4" t="s">
        <v>177</v>
      </c>
      <c r="B62" s="4" t="s">
        <v>38</v>
      </c>
      <c r="C62" s="4" t="s">
        <v>179</v>
      </c>
      <c r="D62" s="4" t="s">
        <v>49</v>
      </c>
      <c r="E62" s="4" t="s">
        <v>178</v>
      </c>
      <c r="F62" s="5">
        <v>45852</v>
      </c>
    </row>
    <row r="63" spans="1:6" x14ac:dyDescent="0.25">
      <c r="A63" s="4" t="s">
        <v>134</v>
      </c>
      <c r="B63" s="4" t="s">
        <v>38</v>
      </c>
      <c r="C63" s="4" t="s">
        <v>136</v>
      </c>
      <c r="D63" s="4" t="s">
        <v>61</v>
      </c>
      <c r="E63" s="4" t="s">
        <v>180</v>
      </c>
      <c r="F63" s="5">
        <v>45852</v>
      </c>
    </row>
    <row r="64" spans="1:6" x14ac:dyDescent="0.25">
      <c r="A64" s="4" t="s">
        <v>140</v>
      </c>
      <c r="B64" s="4" t="s">
        <v>38</v>
      </c>
      <c r="C64" s="4" t="s">
        <v>142</v>
      </c>
      <c r="D64" s="4" t="s">
        <v>61</v>
      </c>
      <c r="E64" s="4" t="s">
        <v>181</v>
      </c>
      <c r="F64" s="5">
        <v>45856</v>
      </c>
    </row>
    <row r="65" spans="1:6" x14ac:dyDescent="0.25">
      <c r="A65" s="4" t="s">
        <v>155</v>
      </c>
      <c r="B65" s="4" t="s">
        <v>38</v>
      </c>
      <c r="C65" s="4" t="s">
        <v>156</v>
      </c>
      <c r="D65" s="4" t="s">
        <v>49</v>
      </c>
      <c r="E65" s="4" t="s">
        <v>182</v>
      </c>
      <c r="F65" s="5">
        <v>45856</v>
      </c>
    </row>
    <row r="66" spans="1:6" x14ac:dyDescent="0.25">
      <c r="A66" s="4" t="s">
        <v>183</v>
      </c>
      <c r="B66" s="4" t="s">
        <v>38</v>
      </c>
      <c r="C66" s="4" t="s">
        <v>138</v>
      </c>
      <c r="D66" s="4" t="s">
        <v>184</v>
      </c>
      <c r="E66" s="4" t="s">
        <v>185</v>
      </c>
      <c r="F66" s="5">
        <v>45860</v>
      </c>
    </row>
    <row r="67" spans="1:6" x14ac:dyDescent="0.25">
      <c r="A67" s="4" t="s">
        <v>140</v>
      </c>
      <c r="B67" s="4" t="s">
        <v>38</v>
      </c>
      <c r="C67" s="4" t="s">
        <v>142</v>
      </c>
      <c r="D67" s="4" t="s">
        <v>61</v>
      </c>
      <c r="E67" s="4" t="s">
        <v>186</v>
      </c>
      <c r="F67" s="5">
        <v>45862</v>
      </c>
    </row>
    <row r="68" spans="1:6" x14ac:dyDescent="0.25">
      <c r="A68" s="4" t="s">
        <v>183</v>
      </c>
      <c r="B68" s="4" t="s">
        <v>38</v>
      </c>
      <c r="C68" s="4" t="s">
        <v>138</v>
      </c>
      <c r="D68" s="4" t="s">
        <v>184</v>
      </c>
      <c r="E68" s="4" t="s">
        <v>187</v>
      </c>
      <c r="F68" s="5">
        <v>45866</v>
      </c>
    </row>
    <row r="69" spans="1:6" x14ac:dyDescent="0.25">
      <c r="A69" s="4" t="s">
        <v>183</v>
      </c>
      <c r="B69" s="4" t="s">
        <v>38</v>
      </c>
      <c r="C69" s="4" t="s">
        <v>138</v>
      </c>
      <c r="D69" s="4" t="s">
        <v>184</v>
      </c>
      <c r="E69" s="4" t="s">
        <v>188</v>
      </c>
      <c r="F69" s="5">
        <v>45867</v>
      </c>
    </row>
    <row r="70" spans="1:6" x14ac:dyDescent="0.25">
      <c r="A70" s="4" t="s">
        <v>183</v>
      </c>
      <c r="B70" s="4" t="s">
        <v>38</v>
      </c>
      <c r="C70" s="4" t="s">
        <v>138</v>
      </c>
      <c r="D70" s="4" t="s">
        <v>184</v>
      </c>
      <c r="E70" s="4" t="s">
        <v>189</v>
      </c>
      <c r="F70" s="5">
        <v>45868</v>
      </c>
    </row>
    <row r="71" spans="1:6" x14ac:dyDescent="0.25">
      <c r="A71" s="4" t="s">
        <v>190</v>
      </c>
      <c r="B71" s="4" t="s">
        <v>38</v>
      </c>
      <c r="C71" s="4" t="s">
        <v>145</v>
      </c>
      <c r="D71" s="4" t="s">
        <v>49</v>
      </c>
      <c r="E71" s="4" t="s">
        <v>191</v>
      </c>
      <c r="F71" s="5">
        <v>45869</v>
      </c>
    </row>
    <row r="72" spans="1:6" x14ac:dyDescent="0.25">
      <c r="A72" s="4" t="s">
        <v>193</v>
      </c>
      <c r="B72" s="4" t="s">
        <v>38</v>
      </c>
      <c r="C72" s="4" t="s">
        <v>194</v>
      </c>
      <c r="D72" s="4" t="s">
        <v>195</v>
      </c>
      <c r="E72" s="4" t="s">
        <v>196</v>
      </c>
      <c r="F72" s="5">
        <v>45901</v>
      </c>
    </row>
    <row r="73" spans="1:6" x14ac:dyDescent="0.25">
      <c r="A73" s="4" t="s">
        <v>192</v>
      </c>
      <c r="B73" s="4" t="s">
        <v>38</v>
      </c>
      <c r="C73" s="4" t="s">
        <v>194</v>
      </c>
      <c r="D73" s="4" t="s">
        <v>195</v>
      </c>
      <c r="E73" s="4" t="s">
        <v>197</v>
      </c>
      <c r="F73" s="5">
        <v>45901</v>
      </c>
    </row>
    <row r="74" spans="1:6" x14ac:dyDescent="0.25">
      <c r="A74" s="4" t="s">
        <v>158</v>
      </c>
      <c r="B74" s="4" t="s">
        <v>38</v>
      </c>
      <c r="C74" s="4" t="s">
        <v>198</v>
      </c>
      <c r="D74" s="4" t="s">
        <v>61</v>
      </c>
      <c r="E74" s="4" t="s">
        <v>199</v>
      </c>
      <c r="F74" s="5">
        <v>45901</v>
      </c>
    </row>
    <row r="75" spans="1:6" x14ac:dyDescent="0.25">
      <c r="A75" s="4" t="s">
        <v>201</v>
      </c>
      <c r="B75" s="4" t="s">
        <v>38</v>
      </c>
      <c r="C75" s="4" t="s">
        <v>200</v>
      </c>
      <c r="D75" s="4" t="s">
        <v>21</v>
      </c>
      <c r="E75" s="4" t="s">
        <v>202</v>
      </c>
      <c r="F75" s="5">
        <v>45903</v>
      </c>
    </row>
    <row r="76" spans="1:6" x14ac:dyDescent="0.25">
      <c r="A76" s="4" t="s">
        <v>201</v>
      </c>
      <c r="B76" s="4" t="s">
        <v>38</v>
      </c>
      <c r="C76" s="4" t="s">
        <v>200</v>
      </c>
      <c r="D76" s="4" t="s">
        <v>21</v>
      </c>
      <c r="E76" s="4" t="s">
        <v>203</v>
      </c>
      <c r="F76" s="5">
        <v>45909</v>
      </c>
    </row>
    <row r="77" spans="1:6" x14ac:dyDescent="0.25">
      <c r="A77" s="4" t="s">
        <v>204</v>
      </c>
      <c r="B77" s="4" t="s">
        <v>38</v>
      </c>
      <c r="C77" s="4" t="s">
        <v>205</v>
      </c>
      <c r="D77" s="4" t="s">
        <v>21</v>
      </c>
      <c r="E77" s="4" t="s">
        <v>206</v>
      </c>
      <c r="F77" s="5">
        <v>45911</v>
      </c>
    </row>
    <row r="78" spans="1:6" x14ac:dyDescent="0.25">
      <c r="A78" s="4" t="s">
        <v>183</v>
      </c>
      <c r="B78" s="4" t="s">
        <v>38</v>
      </c>
      <c r="C78" s="4" t="s">
        <v>138</v>
      </c>
      <c r="D78" s="4" t="s">
        <v>184</v>
      </c>
      <c r="E78" s="4" t="s">
        <v>207</v>
      </c>
      <c r="F78" s="5">
        <v>45915</v>
      </c>
    </row>
    <row r="79" spans="1:6" x14ac:dyDescent="0.25">
      <c r="A79" s="4" t="s">
        <v>208</v>
      </c>
      <c r="B79" s="4" t="s">
        <v>38</v>
      </c>
      <c r="C79" s="4" t="s">
        <v>210</v>
      </c>
      <c r="D79" s="4" t="s">
        <v>61</v>
      </c>
      <c r="E79" s="4" t="s">
        <v>209</v>
      </c>
      <c r="F79" s="5">
        <v>45916</v>
      </c>
    </row>
    <row r="80" spans="1:6" x14ac:dyDescent="0.25">
      <c r="A80" s="4" t="s">
        <v>211</v>
      </c>
      <c r="B80" s="4" t="s">
        <v>38</v>
      </c>
      <c r="C80" s="4" t="s">
        <v>210</v>
      </c>
      <c r="D80" s="4" t="s">
        <v>61</v>
      </c>
      <c r="E80" s="4" t="s">
        <v>212</v>
      </c>
      <c r="F80" s="5">
        <v>45918</v>
      </c>
    </row>
    <row r="81" spans="1:6" x14ac:dyDescent="0.25">
      <c r="A81" s="4" t="s">
        <v>217</v>
      </c>
      <c r="B81" s="4" t="s">
        <v>38</v>
      </c>
      <c r="C81" s="4" t="s">
        <v>153</v>
      </c>
      <c r="D81" s="4" t="s">
        <v>49</v>
      </c>
      <c r="E81" s="4" t="s">
        <v>216</v>
      </c>
      <c r="F81" s="5">
        <v>45918</v>
      </c>
    </row>
    <row r="82" spans="1:6" x14ac:dyDescent="0.25">
      <c r="A82" s="4" t="s">
        <v>155</v>
      </c>
      <c r="B82" s="4" t="s">
        <v>38</v>
      </c>
      <c r="C82" s="4" t="s">
        <v>156</v>
      </c>
      <c r="D82" s="4" t="s">
        <v>49</v>
      </c>
      <c r="E82" s="4" t="s">
        <v>218</v>
      </c>
      <c r="F82" s="5">
        <v>45919</v>
      </c>
    </row>
    <row r="83" spans="1:6" x14ac:dyDescent="0.25">
      <c r="A83" s="4" t="s">
        <v>183</v>
      </c>
      <c r="B83" s="4" t="s">
        <v>38</v>
      </c>
      <c r="C83" s="4" t="s">
        <v>138</v>
      </c>
      <c r="D83" s="4" t="s">
        <v>184</v>
      </c>
      <c r="E83" s="4" t="s">
        <v>226</v>
      </c>
      <c r="F83" s="5">
        <v>45922</v>
      </c>
    </row>
    <row r="84" spans="1:6" x14ac:dyDescent="0.25">
      <c r="A84" s="4" t="s">
        <v>155</v>
      </c>
      <c r="B84" s="4" t="s">
        <v>38</v>
      </c>
      <c r="C84" s="4" t="s">
        <v>219</v>
      </c>
      <c r="D84" s="4" t="s">
        <v>49</v>
      </c>
      <c r="E84" s="4" t="s">
        <v>220</v>
      </c>
      <c r="F84" s="5">
        <v>45923</v>
      </c>
    </row>
    <row r="85" spans="1:6" x14ac:dyDescent="0.25">
      <c r="A85" s="4" t="s">
        <v>221</v>
      </c>
      <c r="B85" s="4" t="s">
        <v>38</v>
      </c>
      <c r="C85" s="4" t="s">
        <v>222</v>
      </c>
      <c r="D85" s="4" t="s">
        <v>223</v>
      </c>
      <c r="E85" s="4" t="s">
        <v>224</v>
      </c>
      <c r="F85" s="5">
        <v>45923</v>
      </c>
    </row>
    <row r="86" spans="1:6" x14ac:dyDescent="0.25">
      <c r="A86" s="4" t="s">
        <v>183</v>
      </c>
      <c r="B86" s="4" t="s">
        <v>38</v>
      </c>
      <c r="C86" s="4" t="s">
        <v>138</v>
      </c>
      <c r="D86" s="4" t="s">
        <v>184</v>
      </c>
      <c r="E86" s="4" t="s">
        <v>225</v>
      </c>
      <c r="F86" s="5">
        <v>45932</v>
      </c>
    </row>
    <row r="87" spans="1:6" x14ac:dyDescent="0.25">
      <c r="A87" s="4" t="s">
        <v>228</v>
      </c>
      <c r="B87" s="4" t="s">
        <v>38</v>
      </c>
      <c r="C87" s="4" t="s">
        <v>194</v>
      </c>
      <c r="D87" s="4" t="s">
        <v>229</v>
      </c>
      <c r="E87" s="4" t="s">
        <v>230</v>
      </c>
      <c r="F87" s="5">
        <v>45933</v>
      </c>
    </row>
    <row r="88" spans="1:6" x14ac:dyDescent="0.25">
      <c r="A88" s="4" t="s">
        <v>231</v>
      </c>
      <c r="B88" s="4" t="s">
        <v>38</v>
      </c>
      <c r="C88" s="4" t="s">
        <v>232</v>
      </c>
      <c r="D88" s="4" t="s">
        <v>61</v>
      </c>
      <c r="E88" s="4" t="s">
        <v>233</v>
      </c>
      <c r="F88" s="5">
        <v>45933</v>
      </c>
    </row>
    <row r="89" spans="1:6" x14ac:dyDescent="0.25">
      <c r="A89" s="4" t="s">
        <v>234</v>
      </c>
      <c r="B89" s="4" t="s">
        <v>38</v>
      </c>
      <c r="C89" s="4" t="s">
        <v>153</v>
      </c>
      <c r="D89" s="4" t="s">
        <v>61</v>
      </c>
      <c r="E89" s="4" t="s">
        <v>235</v>
      </c>
      <c r="F89" s="5">
        <v>45936</v>
      </c>
    </row>
    <row r="90" spans="1:6" x14ac:dyDescent="0.25">
      <c r="A90" s="4" t="s">
        <v>236</v>
      </c>
      <c r="B90" s="4" t="s">
        <v>38</v>
      </c>
      <c r="C90" s="4" t="s">
        <v>237</v>
      </c>
      <c r="D90" s="4" t="s">
        <v>238</v>
      </c>
      <c r="E90" s="4" t="s">
        <v>239</v>
      </c>
      <c r="F90" s="5">
        <v>45937</v>
      </c>
    </row>
    <row r="91" spans="1:6" x14ac:dyDescent="0.25">
      <c r="A91" s="4" t="s">
        <v>240</v>
      </c>
      <c r="B91" s="4" t="s">
        <v>38</v>
      </c>
      <c r="C91" s="4" t="s">
        <v>145</v>
      </c>
      <c r="D91" s="4" t="s">
        <v>241</v>
      </c>
      <c r="E91" s="4" t="s">
        <v>242</v>
      </c>
      <c r="F91" s="5">
        <v>45937</v>
      </c>
    </row>
    <row r="92" spans="1:6" x14ac:dyDescent="0.25">
      <c r="A92" s="4" t="s">
        <v>217</v>
      </c>
      <c r="B92" s="4" t="s">
        <v>38</v>
      </c>
      <c r="C92" s="4" t="s">
        <v>153</v>
      </c>
      <c r="D92" s="4" t="s">
        <v>243</v>
      </c>
      <c r="E92" s="4" t="s">
        <v>244</v>
      </c>
      <c r="F92" s="5">
        <v>45943</v>
      </c>
    </row>
    <row r="93" spans="1:6" x14ac:dyDescent="0.25">
      <c r="A93" s="4" t="s">
        <v>246</v>
      </c>
      <c r="B93" s="4" t="s">
        <v>38</v>
      </c>
      <c r="C93" s="4" t="s">
        <v>245</v>
      </c>
      <c r="D93" s="4" t="s">
        <v>49</v>
      </c>
      <c r="E93" s="4" t="s">
        <v>247</v>
      </c>
      <c r="F93" s="5">
        <v>45943</v>
      </c>
    </row>
    <row r="94" spans="1:6" x14ac:dyDescent="0.25">
      <c r="A94" s="4" t="s">
        <v>248</v>
      </c>
      <c r="B94" s="4" t="s">
        <v>38</v>
      </c>
      <c r="C94" s="4" t="s">
        <v>245</v>
      </c>
      <c r="D94" s="4" t="s">
        <v>250</v>
      </c>
      <c r="E94" s="4" t="s">
        <v>249</v>
      </c>
      <c r="F94" s="5">
        <v>45943</v>
      </c>
    </row>
    <row r="95" spans="1:6" x14ac:dyDescent="0.25">
      <c r="A95" s="4" t="s">
        <v>248</v>
      </c>
      <c r="B95" s="4" t="s">
        <v>38</v>
      </c>
      <c r="C95" s="4" t="s">
        <v>245</v>
      </c>
      <c r="D95" s="4" t="s">
        <v>250</v>
      </c>
      <c r="E95" s="4" t="s">
        <v>252</v>
      </c>
      <c r="F95" s="5">
        <v>45943</v>
      </c>
    </row>
    <row r="96" spans="1:6" x14ac:dyDescent="0.25">
      <c r="A96" s="4" t="s">
        <v>246</v>
      </c>
      <c r="B96" s="4" t="s">
        <v>38</v>
      </c>
      <c r="C96" s="4" t="s">
        <v>245</v>
      </c>
      <c r="D96" s="4" t="s">
        <v>49</v>
      </c>
      <c r="E96" s="4" t="s">
        <v>251</v>
      </c>
      <c r="F96" s="5">
        <v>45943</v>
      </c>
    </row>
    <row r="97" spans="1:6" x14ac:dyDescent="0.25">
      <c r="A97" s="4" t="s">
        <v>248</v>
      </c>
      <c r="B97" s="4" t="s">
        <v>38</v>
      </c>
      <c r="C97" s="4" t="s">
        <v>245</v>
      </c>
      <c r="D97" s="4" t="s">
        <v>250</v>
      </c>
      <c r="E97" s="4" t="s">
        <v>253</v>
      </c>
      <c r="F97" s="5">
        <v>45944</v>
      </c>
    </row>
    <row r="98" spans="1:6" x14ac:dyDescent="0.25">
      <c r="A98" s="4" t="s">
        <v>208</v>
      </c>
      <c r="B98" s="4" t="s">
        <v>38</v>
      </c>
      <c r="C98" s="4" t="s">
        <v>210</v>
      </c>
      <c r="D98" s="4" t="s">
        <v>61</v>
      </c>
      <c r="E98" s="4" t="s">
        <v>254</v>
      </c>
      <c r="F98" s="5">
        <v>45944</v>
      </c>
    </row>
    <row r="99" spans="1:6" x14ac:dyDescent="0.25">
      <c r="A99" s="4" t="s">
        <v>246</v>
      </c>
      <c r="B99" s="4" t="s">
        <v>38</v>
      </c>
      <c r="C99" s="4" t="s">
        <v>245</v>
      </c>
      <c r="D99" s="4" t="s">
        <v>49</v>
      </c>
      <c r="E99" s="4" t="s">
        <v>255</v>
      </c>
      <c r="F99" s="5">
        <v>45945</v>
      </c>
    </row>
    <row r="100" spans="1:6" x14ac:dyDescent="0.25">
      <c r="A100" s="4" t="s">
        <v>256</v>
      </c>
      <c r="B100" s="4" t="s">
        <v>38</v>
      </c>
      <c r="C100" s="4" t="s">
        <v>142</v>
      </c>
      <c r="D100" s="4" t="s">
        <v>257</v>
      </c>
      <c r="E100" s="4" t="s">
        <v>258</v>
      </c>
      <c r="F100" s="5">
        <v>45946</v>
      </c>
    </row>
    <row r="101" spans="1:6" x14ac:dyDescent="0.25">
      <c r="A101" s="4" t="s">
        <v>259</v>
      </c>
      <c r="B101" s="4" t="s">
        <v>38</v>
      </c>
      <c r="C101" s="4" t="s">
        <v>261</v>
      </c>
      <c r="D101" s="4" t="s">
        <v>262</v>
      </c>
      <c r="E101" s="4" t="s">
        <v>260</v>
      </c>
      <c r="F101" s="5">
        <v>45946</v>
      </c>
    </row>
    <row r="102" spans="1:6" x14ac:dyDescent="0.25">
      <c r="A102" s="4" t="s">
        <v>263</v>
      </c>
      <c r="B102" s="4" t="s">
        <v>38</v>
      </c>
      <c r="C102" s="4" t="s">
        <v>145</v>
      </c>
      <c r="D102" s="4" t="s">
        <v>241</v>
      </c>
      <c r="E102" s="4" t="s">
        <v>264</v>
      </c>
      <c r="F102" s="5">
        <v>45947</v>
      </c>
    </row>
    <row r="103" spans="1:6" x14ac:dyDescent="0.25">
      <c r="A103" s="4" t="s">
        <v>246</v>
      </c>
      <c r="B103" s="4" t="s">
        <v>38</v>
      </c>
      <c r="C103" s="4" t="s">
        <v>245</v>
      </c>
      <c r="D103" s="4" t="s">
        <v>49</v>
      </c>
      <c r="E103" s="4" t="s">
        <v>255</v>
      </c>
      <c r="F103" s="5">
        <v>45950</v>
      </c>
    </row>
    <row r="104" spans="1:6" x14ac:dyDescent="0.25">
      <c r="A104" s="4" t="s">
        <v>208</v>
      </c>
      <c r="B104" s="4" t="s">
        <v>38</v>
      </c>
      <c r="C104" s="4" t="s">
        <v>210</v>
      </c>
      <c r="D104" s="4" t="s">
        <v>61</v>
      </c>
      <c r="E104" s="4" t="s">
        <v>265</v>
      </c>
      <c r="F104" s="5">
        <v>45951</v>
      </c>
    </row>
    <row r="105" spans="1:6" x14ac:dyDescent="0.25">
      <c r="A105" s="4" t="s">
        <v>248</v>
      </c>
      <c r="B105" s="4" t="s">
        <v>38</v>
      </c>
      <c r="C105" s="4" t="s">
        <v>245</v>
      </c>
      <c r="D105" s="4" t="s">
        <v>250</v>
      </c>
      <c r="E105" s="4" t="s">
        <v>253</v>
      </c>
      <c r="F105" s="5">
        <v>45959</v>
      </c>
    </row>
    <row r="106" spans="1:6" x14ac:dyDescent="0.25">
      <c r="A106" s="4" t="s">
        <v>266</v>
      </c>
      <c r="B106" s="4" t="s">
        <v>38</v>
      </c>
      <c r="C106" s="4" t="s">
        <v>267</v>
      </c>
      <c r="D106" s="4" t="s">
        <v>257</v>
      </c>
      <c r="E106" s="4" t="s">
        <v>268</v>
      </c>
      <c r="F106" s="5">
        <v>45960</v>
      </c>
    </row>
    <row r="107" spans="1:6" x14ac:dyDescent="0.25">
      <c r="A107" s="4" t="s">
        <v>208</v>
      </c>
      <c r="B107" s="4" t="s">
        <v>38</v>
      </c>
      <c r="C107" s="4" t="s">
        <v>210</v>
      </c>
      <c r="D107" s="4" t="s">
        <v>61</v>
      </c>
      <c r="E107" s="4" t="s">
        <v>269</v>
      </c>
      <c r="F107" s="5">
        <v>45960</v>
      </c>
    </row>
    <row r="108" spans="1:6" x14ac:dyDescent="0.25">
      <c r="A108" s="4" t="s">
        <v>270</v>
      </c>
      <c r="B108" s="4" t="s">
        <v>38</v>
      </c>
      <c r="C108" s="4" t="s">
        <v>210</v>
      </c>
      <c r="D108" s="4" t="s">
        <v>61</v>
      </c>
      <c r="E108" s="4" t="s">
        <v>271</v>
      </c>
      <c r="F108" s="5">
        <v>45961</v>
      </c>
    </row>
    <row r="109" spans="1:6" x14ac:dyDescent="0.25">
      <c r="A109" s="4" t="s">
        <v>217</v>
      </c>
      <c r="B109" s="4" t="s">
        <v>38</v>
      </c>
      <c r="C109" s="4" t="s">
        <v>272</v>
      </c>
      <c r="D109" s="4" t="s">
        <v>61</v>
      </c>
      <c r="E109" s="4" t="s">
        <v>273</v>
      </c>
      <c r="F109" s="5">
        <v>45964</v>
      </c>
    </row>
    <row r="110" spans="1:6" x14ac:dyDescent="0.25">
      <c r="A110" s="4" t="s">
        <v>274</v>
      </c>
      <c r="B110" s="4" t="s">
        <v>38</v>
      </c>
      <c r="C110" s="4" t="s">
        <v>275</v>
      </c>
      <c r="D110" s="4" t="s">
        <v>276</v>
      </c>
      <c r="E110" s="4" t="s">
        <v>277</v>
      </c>
      <c r="F110" s="5">
        <v>45964</v>
      </c>
    </row>
    <row r="111" spans="1:6" x14ac:dyDescent="0.25">
      <c r="A111" s="4" t="s">
        <v>263</v>
      </c>
      <c r="B111" s="4" t="s">
        <v>38</v>
      </c>
      <c r="C111" s="4" t="s">
        <v>145</v>
      </c>
      <c r="D111" s="4" t="s">
        <v>241</v>
      </c>
      <c r="E111" s="4" t="s">
        <v>278</v>
      </c>
      <c r="F111" s="5">
        <v>45964</v>
      </c>
    </row>
    <row r="112" spans="1:6" x14ac:dyDescent="0.25">
      <c r="A112" s="4" t="s">
        <v>246</v>
      </c>
      <c r="B112" s="4" t="s">
        <v>38</v>
      </c>
      <c r="C112" s="4" t="s">
        <v>245</v>
      </c>
      <c r="D112" s="4" t="s">
        <v>49</v>
      </c>
      <c r="E112" s="4" t="s">
        <v>279</v>
      </c>
      <c r="F112" s="5">
        <v>45965</v>
      </c>
    </row>
    <row r="113" spans="1:6" x14ac:dyDescent="0.25">
      <c r="A113" s="4" t="s">
        <v>280</v>
      </c>
      <c r="B113" s="4" t="s">
        <v>38</v>
      </c>
      <c r="C113" s="4" t="s">
        <v>281</v>
      </c>
      <c r="D113" s="4" t="s">
        <v>61</v>
      </c>
      <c r="E113" s="4" t="s">
        <v>282</v>
      </c>
      <c r="F113" s="5">
        <v>45966</v>
      </c>
    </row>
    <row r="114" spans="1:6" x14ac:dyDescent="0.25">
      <c r="A114" s="4" t="s">
        <v>248</v>
      </c>
      <c r="B114" s="4" t="s">
        <v>38</v>
      </c>
      <c r="C114" s="4" t="s">
        <v>245</v>
      </c>
      <c r="D114" s="4" t="s">
        <v>250</v>
      </c>
      <c r="E114" s="4" t="s">
        <v>296</v>
      </c>
      <c r="F114" s="5">
        <v>45966</v>
      </c>
    </row>
    <row r="115" spans="1:6" x14ac:dyDescent="0.25">
      <c r="A115" s="4" t="s">
        <v>248</v>
      </c>
      <c r="B115" s="4" t="s">
        <v>38</v>
      </c>
      <c r="C115" s="4" t="s">
        <v>245</v>
      </c>
      <c r="D115" s="4" t="s">
        <v>250</v>
      </c>
      <c r="E115" s="4" t="s">
        <v>296</v>
      </c>
      <c r="F115" s="5">
        <v>45974</v>
      </c>
    </row>
    <row r="116" spans="1:6" x14ac:dyDescent="0.25">
      <c r="A116" s="4" t="s">
        <v>248</v>
      </c>
      <c r="B116" s="4" t="s">
        <v>38</v>
      </c>
      <c r="C116" s="4" t="s">
        <v>245</v>
      </c>
      <c r="D116" s="4" t="s">
        <v>250</v>
      </c>
      <c r="E116" s="4" t="s">
        <v>296</v>
      </c>
      <c r="F116" s="5">
        <v>45974</v>
      </c>
    </row>
    <row r="117" spans="1:6" x14ac:dyDescent="0.25">
      <c r="A117" s="4" t="s">
        <v>248</v>
      </c>
      <c r="B117" s="4" t="s">
        <v>38</v>
      </c>
      <c r="C117" s="4" t="s">
        <v>245</v>
      </c>
      <c r="D117" s="4" t="s">
        <v>250</v>
      </c>
      <c r="E117" s="4" t="s">
        <v>296</v>
      </c>
      <c r="F117" s="5">
        <v>45974</v>
      </c>
    </row>
  </sheetData>
  <autoFilter ref="A1:F1" xr:uid="{72DA5793-3B8F-4CCF-AA47-9CE76055BF74}"/>
  <conditionalFormatting sqref="E1:E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Plantilla reporte</vt:lpstr>
      <vt:lpstr>TRANSMISIONES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Ernesto Carrillo</dc:creator>
  <cp:lastModifiedBy>Jose Paredes</cp:lastModifiedBy>
  <dcterms:created xsi:type="dcterms:W3CDTF">2015-06-05T18:19:34Z</dcterms:created>
  <dcterms:modified xsi:type="dcterms:W3CDTF">2025-11-13T15:28:38Z</dcterms:modified>
</cp:coreProperties>
</file>