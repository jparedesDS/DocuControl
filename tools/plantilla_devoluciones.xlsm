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11867CB0-DB1B-4E0C-8A3A-8135874AF43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<sst xmlns="http://schemas.openxmlformats.org/spreadsheetml/2006/main" count="500" uniqueCount="227">
  <si>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</si>
  <si>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</si>
  <si>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</si>
  <si>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</si>
  <si>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</si>
  <si>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</si>
  <si>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</si>
  <si>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</si>
  <si>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</si>
  <si>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</si>
  <si>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</si>
  <si>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</si>
  <si>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</si>
  <si>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</si>
  <si>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</si>
  <si>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</si>
  <si>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</si>
  <si>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</si>
  <si>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</si>
  <si>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</si>
  <si>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</si>
  <si>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</si>
  <si>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</si>
  <si>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</si>
  <si>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</si>
  <si>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</si>
  <si>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</si>
  <si>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</si>
  <si>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</si>
  <si>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</si>
  <si>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</si>
  <si>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</si>
  <si>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</si>
  <si>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</si>
  <si>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</si>
  <si>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</si>
  <si>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</si>
  <si>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</si>
  <si>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</si>
  <si>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</si>
  <si>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</si>
  <si>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</si>
  <si>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</si>
  <si>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</si>
  <si>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</si>
  <si>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</si>
  <si>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</si>
  <si>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</si>
  <si>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</si>
  <si>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</si>
  <si>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</si>
  <si>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</si>
  <si>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</si>
  <si>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</si>
  <si>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</si>
  <si>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</si>
  <si>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</si>
  <si>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</si>
  <si>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</si>
  <si>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</si>
  <si>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</si>
  <si>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</si>
  <si>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</si>
  <si>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</si>
  <si>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</si>
  <si>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</si>
  <si>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</si>
  <si>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</si>
  <si>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</si>
  <si>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</si>
  <si>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</si>
  <si>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</si>
  <si>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</si>
  <si>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</si>
  <si>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</si>
  <si>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</si>
  <si>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</si>
  <si>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</si>
  <si>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</si>
  <si>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</si>
  <si>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</si>
  <si>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</si>
  <si>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</si>
  <si>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</si>
  <si>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</si>
  <si>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</si>
  <si>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</si>
  <si>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</si>
  <si>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</si>
  <si>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</si>
  <si>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</si>
  <si>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</si>
  <si>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</si>
  <si>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</si>
  <si>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</si>
  <si>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</si>
  <si>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</si>
  <si>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</si>
  <si>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</si>
  <si>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</si>
  <si>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</si>
  <si>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</si>
  <si>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</si>
  <si>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</si>
  <si>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</si>
  <si>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</si>
  <si>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</si>
  <si>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</si>
  <si>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</si>
  <si>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</si>
  <si>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</si>
  <si>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</si>
  <si>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</si>
  <si>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</si>
  <si>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</si>
  <si>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</si>
  <si>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</si>
  <si>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</si>
  <si>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</si>
  <si>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</si>
  <si>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</si>
  <si>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</si>
  <si>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</si>
  <si>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</si>
  <si>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</si>
  <si>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</si>
  <si>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</si>
  <si>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</si>
  <si>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ana-calvo@eipsa.es;jesus-martinez@eipsa.es;ernesto-carrillo@eipsa.es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</si>
  <si>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</si>
  <si>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</si>
  <si>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</si>
  <si>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</si>
  <si>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</si>
  <si>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</si>
  <si>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</si>
  <si>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</si>
  <si>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</si>
  <si>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</si>
  <si>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</si>
  <si>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</si>
  <si>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</si>
  <si>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</si>
  <si>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</si>
  <si>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</si>
  <si>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</si>
  <si>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</si>
  <si>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</si>
  <si>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</si>
  <si>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</si>
  <si>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</si>
  <si>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</si>
  <si>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</si>
  <si>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</si>
  <si>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</si>
  <si>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</si>
  <si>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</si>
  <si>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</si>
  <si>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</si>
  <si>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</si>
  <si>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</si>
  <si>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</si>
  <si>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</si>
  <si>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</si>
  <si>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</si>
  <si>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</si>
  <si>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</si>
  <si>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</si>
  <si>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</si>
  <si>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</si>
  <si>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</si>
  <si>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</si>
  <si>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</si>
  <si>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</si>
  <si>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</si>
  <si>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</si>
  <si>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</si>
  <si>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</si>
  <si>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</si>
  <si>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</si>
  <si>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</si>
  <si>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</si>
  <si>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</si>
  <si>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</si>
  <si>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</si>
  <si>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</si>
  <si>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</si>
  <si>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</si>
  <si>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</si>
  <si>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</si>
  <si>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</si>
  <si>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</si>
  <si>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P-25/042</t>
  </si>
  <si>
    <t>P-25/045</t>
  </si>
  <si>
    <t>ALMARAZ-TRILLO</t>
  </si>
  <si>
    <t>PT-100</t>
  </si>
  <si>
    <t>P-25/045_0</t>
  </si>
  <si>
    <t>P-25/042_0</t>
  </si>
  <si>
    <t>YOKOGAWA</t>
  </si>
  <si>
    <t>P-25/005_5</t>
  </si>
  <si>
    <t>AFIFI/ARAMCO</t>
  </si>
  <si>
    <t>PA-25/087</t>
  </si>
  <si>
    <t>PA-25/087_0</t>
  </si>
  <si>
    <t>PA-25/087_1</t>
  </si>
  <si>
    <t>P-25/031</t>
  </si>
  <si>
    <t>SULZER</t>
  </si>
  <si>
    <t>P-25/031_1</t>
  </si>
  <si>
    <t>P-25/035_6</t>
  </si>
  <si>
    <t>P-25/051</t>
  </si>
  <si>
    <t>P-25/051_0</t>
  </si>
  <si>
    <t>TECMACO</t>
  </si>
  <si>
    <t>P-25/053</t>
  </si>
  <si>
    <t>P-25/053_1</t>
  </si>
  <si>
    <t>REVIEWED WITH COMMENTS</t>
  </si>
  <si>
    <t>I - FOR INFORMATION</t>
  </si>
  <si>
    <t>P-25/0-S00//TRANSMITTAL P-25/0</t>
  </si>
  <si>
    <t>P-25/039_0</t>
  </si>
  <si>
    <t>P-25/039</t>
  </si>
  <si>
    <t>P-24/070_19</t>
  </si>
  <si>
    <t>HYUNDAI/ARAMCO</t>
  </si>
  <si>
    <t>P-24/070_20</t>
  </si>
  <si>
    <t>P-25/052</t>
  </si>
  <si>
    <t>EQUIPMENT CALCULATION SHEETS</t>
  </si>
  <si>
    <t>P-25-052-CAL-00</t>
  </si>
  <si>
    <t>YARA</t>
  </si>
  <si>
    <t>VENTURIS</t>
  </si>
  <si>
    <t>P-25/052_0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</si>
</sst>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2" fillId="0" borderId="0" xfId="0" applyFont="1"/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2371726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ana-calvo@eipsa.es;jesus-martinez@eipsa.es;ernesto-carrillo@eipsa.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mailto:carlos-crespohor@eipsa.es;jesus-martinez@eipsa.es;ernesto-carrillo@eipsa.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17.5703125" style="18" bestFit="1" customWidth="1"/>
    <col min="2" max="2" width="17" style="18" bestFit="1" customWidth="1"/>
    <col min="3" max="3" width="27.42578125" style="18" bestFit="1" customWidth="1"/>
    <col min="4" max="4" width="18.28515625" style="18" bestFit="1" customWidth="1"/>
    <col min="5" max="5" width="16" style="6" bestFit="1" customWidth="1"/>
    <col min="6" max="6" width="29.28515625" style="18" bestFit="1" customWidth="1"/>
    <col min="7" max="7" width="3.140625" style="18" bestFit="1" customWidth="1"/>
    <col min="8" max="9" width="3.42578125" style="18" hidden="1" customWidth="1"/>
    <col min="10" max="10" width="3.5703125" style="18" hidden="1" customWidth="1"/>
    <col min="11" max="11" width="3.7109375" style="18" bestFit="1" customWidth="1"/>
    <col min="12" max="12" width="66.7109375" style="18" bestFit="1" customWidth="1"/>
    <col min="13" max="13" width="97.42578125" style="18" bestFit="1" customWidth="1"/>
    <col min="14" max="14" width="3" style="18" customWidth="1"/>
    <col min="15" max="15" width="3" style="18" bestFit="1" customWidth="1"/>
    <col min="16" max="16" width="19" style="18" bestFit="1" customWidth="1"/>
    <col min="17" max="16384" width="9.140625" style="18"/>
  </cols>
  <sheetData>
    <row r="1" spans="1:16" ht="24.95" customHeight="1" x14ac:dyDescent="0.2">
      <c r="A1" s="10" t="s">
        <v>2</v>
      </c>
      <c r="B1" s="11" t="s">
        <v>221</v>
      </c>
      <c r="C1" s="1"/>
      <c r="D1" s="12"/>
      <c r="E1" s="1"/>
      <c r="F1" s="1"/>
      <c r="G1" s="1" t="str">
        <f>MID(B1,3,2)</f>
        <v>25</v>
      </c>
      <c r="H1" s="1"/>
      <c r="I1" s="1"/>
      <c r="J1" s="1"/>
      <c r="K1" s="2"/>
      <c r="L1" s="7">
        <f ca="1">TODAY()</f>
        <v>45923</v>
      </c>
      <c r="M1" s="7">
        <f ca="1">L1+10</f>
        <v>45933</v>
      </c>
      <c r="O1" s="18" t="s">
        <v>13</v>
      </c>
      <c r="P1" s="18" t="s">
        <v>12</v>
      </c>
    </row>
    <row r="2" spans="1:16" ht="24.95" customHeight="1" x14ac:dyDescent="0.2">
      <c r="A2" s="13" t="s">
        <v>3</v>
      </c>
      <c r="B2" s="14" t="s">
        <v>38</v>
      </c>
      <c r="C2" s="1"/>
      <c r="D2" s="1"/>
      <c r="E2" s="15"/>
      <c r="F2" s="15"/>
      <c r="G2" s="1"/>
      <c r="H2" s="1"/>
      <c r="I2" s="1"/>
      <c r="J2" s="1"/>
      <c r="K2" s="2" t="s">
        <v>125</v>
      </c>
      <c r="L2" s="9" t="s">
        <v>5</v>
      </c>
      <c r="O2" s="18" t="s">
        <v>14</v>
      </c>
      <c r="P2" s="18" t="s">
        <v>8</v>
      </c>
    </row>
    <row r="3" spans="1:16" ht="24.95" customHeight="1" x14ac:dyDescent="0.2">
      <c r="A3" s="10" t="s">
        <v>0</v>
      </c>
      <c r="B3" s="11" t="s">
        <v>224</v>
      </c>
      <c r="C3" s="1"/>
      <c r="D3" s="1"/>
      <c r="E3" s="1"/>
      <c r="F3" s="15"/>
      <c r="G3" s="1"/>
      <c r="H3" s="1"/>
      <c r="I3" s="1"/>
      <c r="J3" s="1"/>
      <c r="K3" s="2" t="s">
        <v>126</v>
      </c>
      <c r="L3" s="9" t="s">
        <v>128</v>
      </c>
      <c r="O3" s="18" t="s">
        <v>15</v>
      </c>
      <c r="P3" s="18" t="s">
        <v>9</v>
      </c>
    </row>
    <row r="4" spans="1:16" ht="24.95" customHeight="1" x14ac:dyDescent="0.2">
      <c r="A4" s="10" t="s">
        <v>1</v>
      </c>
      <c r="B4" s="11" t="s">
        <v>225</v>
      </c>
      <c r="C4" s="1"/>
      <c r="D4" s="1"/>
      <c r="E4" s="15"/>
      <c r="F4" s="1"/>
      <c r="G4" s="1"/>
      <c r="H4" s="1"/>
      <c r="I4" s="1"/>
      <c r="J4" s="1"/>
      <c r="K4" s="1"/>
      <c r="L4" s="1"/>
      <c r="O4" s="18" t="s">
        <v>16</v>
      </c>
      <c r="P4" s="18" t="s">
        <v>19</v>
      </c>
    </row>
    <row r="5" spans="1:16" ht="24.95" customHeight="1" x14ac:dyDescent="0.2">
      <c r="A5" s="13" t="s">
        <v>6</v>
      </c>
      <c r="B5" s="14" t="s">
        <v>226</v>
      </c>
      <c r="C5" s="1"/>
      <c r="D5" s="1"/>
      <c r="E5" s="1"/>
      <c r="F5" s="1"/>
      <c r="G5" s="1"/>
      <c r="H5" s="1"/>
      <c r="I5" s="1"/>
      <c r="J5" s="1"/>
      <c r="K5" s="1"/>
      <c r="L5" s="1"/>
      <c r="O5" s="18" t="s">
        <v>17</v>
      </c>
      <c r="P5" s="18" t="s">
        <v>10</v>
      </c>
    </row>
    <row r="6" spans="1:16" ht="24.95" customHeight="1" x14ac:dyDescent="0.2">
      <c r="A6" s="10" t="s">
        <v>7</v>
      </c>
      <c r="B6" s="10" t="s">
        <v>54</v>
      </c>
      <c r="C6" s="10" t="s">
        <v>4</v>
      </c>
      <c r="D6" s="10" t="s">
        <v>55</v>
      </c>
      <c r="E6" s="10" t="s">
        <v>56</v>
      </c>
      <c r="F6" s="10" t="s">
        <v>57</v>
      </c>
      <c r="G6" s="1"/>
      <c r="H6" s="1"/>
      <c r="I6" s="1"/>
      <c r="J6" s="1"/>
      <c r="K6" s="1"/>
      <c r="L6" s="1"/>
      <c r="O6" s="18" t="s">
        <v>18</v>
      </c>
      <c r="P6" s="18" t="s">
        <v>11</v>
      </c>
    </row>
    <row r="7" spans="1:16" ht="24.95" customHeight="1" x14ac:dyDescent="0.2">
      <c r="A7" s="16" t="s">
        <v>223</v>
      </c>
      <c r="B7" s="11">
        <v>0</v>
      </c>
      <c r="C7" s="19" t="s">
        <v>222</v>
      </c>
      <c r="D7" s="16" t="s">
        <v>223</v>
      </c>
      <c r="E7" s="19">
        <v>0</v>
      </c>
      <c r="F7" s="16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25"/>
      <c r="B8" s="20"/>
      <c r="C8" s="25"/>
      <c r="D8" s="25"/>
      <c r="E8" s="20"/>
      <c r="F8" s="25"/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26"/>
      <c r="B9" s="27"/>
      <c r="C9" s="26"/>
      <c r="D9" s="26"/>
      <c r="E9" s="27"/>
      <c r="F9" s="28"/>
      <c r="G9" s="1"/>
      <c r="H9" s="1"/>
      <c r="I9" s="1"/>
      <c r="J9" s="1"/>
      <c r="K9" s="1"/>
      <c r="L9" s="9" t="s">
        <v>128</v>
      </c>
      <c r="M9" s="17" t="s">
        <v>22</v>
      </c>
    </row>
    <row r="10" spans="1:16" ht="24.95" customHeight="1" x14ac:dyDescent="0.2">
      <c r="A10" s="24"/>
      <c r="B10" s="21"/>
      <c r="C10" s="24"/>
      <c r="D10" s="24"/>
      <c r="E10" s="21"/>
      <c r="F10" s="22"/>
      <c r="G10" s="1"/>
      <c r="H10" s="1"/>
      <c r="I10" s="1"/>
      <c r="J10" s="1"/>
      <c r="K10" s="1"/>
      <c r="L10" s="9" t="s">
        <v>129</v>
      </c>
    </row>
    <row r="11" spans="1:16" ht="24.95" customHeight="1" x14ac:dyDescent="0.2">
      <c r="A11" s="16"/>
      <c r="B11" s="19"/>
      <c r="C11" s="16"/>
      <c r="D11" s="16"/>
      <c r="E11" s="19"/>
      <c r="F11" s="11"/>
      <c r="G11" s="1"/>
      <c r="H11" s="1"/>
      <c r="I11" s="1"/>
      <c r="J11" s="1"/>
      <c r="K11" s="1"/>
      <c r="L11" s="9"/>
    </row>
    <row r="12" spans="1:16" ht="24.95" customHeight="1" x14ac:dyDescent="0.2">
      <c r="A12" s="19"/>
      <c r="B12" s="19"/>
      <c r="C12" s="19"/>
      <c r="D12" s="19"/>
      <c r="E12" s="19"/>
      <c r="F12" s="11"/>
      <c r="L12" s="1" t="s">
        <v>215</v>
      </c>
    </row>
    <row r="13" spans="1:16" ht="24.95" customHeight="1" x14ac:dyDescent="0.2">
      <c r="A13" s="20"/>
      <c r="B13" s="20"/>
      <c r="C13" s="20"/>
      <c r="D13" s="20"/>
      <c r="E13" s="20"/>
      <c r="F13" s="23"/>
      <c r="L13" s="1" t="s">
        <v>121</v>
      </c>
    </row>
    <row r="14" spans="1:16" ht="24.95" customHeight="1" x14ac:dyDescent="0.2">
      <c r="A14" s="21"/>
      <c r="B14" s="21"/>
      <c r="C14" s="21"/>
      <c r="D14" s="21"/>
      <c r="E14" s="21"/>
      <c r="F14" s="22"/>
      <c r="L14" s="1" t="s">
        <v>117</v>
      </c>
    </row>
    <row r="15" spans="1:16" ht="24.95" customHeight="1" x14ac:dyDescent="0.2">
      <c r="A15" s="19"/>
      <c r="B15" s="19"/>
      <c r="C15" s="19"/>
      <c r="D15" s="19"/>
      <c r="E15" s="19"/>
      <c r="F15" s="19"/>
      <c r="L15" s="1" t="s">
        <v>213</v>
      </c>
    </row>
    <row r="16" spans="1:16" ht="24.95" customHeight="1" x14ac:dyDescent="0.2">
      <c r="A16" s="19"/>
      <c r="B16" s="19"/>
      <c r="C16" s="19"/>
      <c r="D16" s="19"/>
      <c r="E16" s="19"/>
      <c r="F16" s="19"/>
      <c r="L16" s="8" t="s">
        <v>214</v>
      </c>
    </row>
    <row r="17" spans="1:6" ht="24.95" customHeight="1" x14ac:dyDescent="0.2">
      <c r="A17" s="19"/>
      <c r="B17" s="19"/>
      <c r="C17" s="19"/>
      <c r="D17" s="19"/>
      <c r="E17" s="19"/>
      <c r="F17" s="11"/>
    </row>
    <row r="18" spans="1:6" ht="24.95" customHeight="1" x14ac:dyDescent="0.2">
      <c r="A18" s="20"/>
      <c r="B18" s="20"/>
      <c r="C18" s="20"/>
      <c r="D18" s="20"/>
      <c r="E18" s="20"/>
      <c r="F18" s="20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8"/>
      <c r="B27" s="8"/>
      <c r="C27" s="8"/>
      <c r="D27" s="8"/>
      <c r="E27" s="8"/>
      <c r="F27" s="8"/>
    </row>
    <row r="28" spans="1:6" ht="24.95" customHeight="1" x14ac:dyDescent="0.2">
      <c r="A28" s="8"/>
      <c r="B28" s="8"/>
      <c r="C28" s="8"/>
      <c r="D28" s="8"/>
      <c r="E28" s="8"/>
      <c r="F28" s="8"/>
    </row>
    <row r="29" spans="1:6" ht="24.95" customHeight="1" x14ac:dyDescent="0.2">
      <c r="A29" s="8"/>
      <c r="B29" s="8"/>
      <c r="C29" s="8"/>
      <c r="D29" s="8"/>
      <c r="E29" s="8"/>
      <c r="F29" s="8"/>
    </row>
    <row r="30" spans="1:6" ht="24.95" customHeight="1" x14ac:dyDescent="0.2">
      <c r="A30" s="8"/>
      <c r="B30" s="8"/>
      <c r="C30" s="8"/>
      <c r="D30" s="8"/>
      <c r="E30" s="8"/>
      <c r="F30" s="8"/>
    </row>
    <row r="31" spans="1:6" ht="24.95" customHeight="1" x14ac:dyDescent="0.2">
      <c r="A31" s="8"/>
      <c r="B31" s="8"/>
      <c r="C31" s="8"/>
      <c r="D31" s="8"/>
      <c r="E31" s="8"/>
      <c r="F31" s="8"/>
    </row>
    <row r="32" spans="1:6" ht="24.95" customHeight="1" x14ac:dyDescent="0.2">
      <c r="A32" s="8"/>
      <c r="B32" s="8"/>
      <c r="C32" s="8"/>
      <c r="D32" s="8"/>
      <c r="E32" s="8"/>
      <c r="F32" s="8"/>
    </row>
    <row r="33" spans="1:6" ht="24.95" customHeight="1" x14ac:dyDescent="0.2">
      <c r="A33" s="8"/>
      <c r="B33" s="8"/>
      <c r="C33" s="8"/>
      <c r="D33" s="8"/>
      <c r="E33" s="8"/>
      <c r="F33" s="8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3B9EF125-91D4-44D5-8B7F-73AF52AB5BF3}"/>
    <hyperlink ref="L3" r:id="rId6" xr:uid="{B141BF12-BB29-4427-94C0-4C5658C27098}"/>
  </hyperlinks>
  <pageMargins left="0.7" right="0.7" top="0.75" bottom="0.75" header="0.3" footer="0.3"/>
  <pageSetup paperSize="9" orientation="portrait" horizontalDpi="1200" verticalDpi="1200" r:id="rId7"/>
  <drawing r:id="rId8"/>
  <legacyDrawing r:id="rId9"/>
  <controls>
    <mc:AlternateContent xmlns:mc="http://schemas.openxmlformats.org/markup-compatibility/2006">
      <mc:Choice Requires="x14">
        <control shapeId="1030" r:id="rId10" name="CORREO_NUEVO">
          <controlPr defaultSize="0" autoLine="0" r:id="rId11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0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88"/>
  <sheetViews>
    <sheetView topLeftCell="A59" workbookViewId="0">
      <selection activeCell="A88" sqref="A88:E88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111</v>
      </c>
      <c r="B33" s="4" t="s">
        <v>112</v>
      </c>
      <c r="C33" s="4" t="s">
        <v>25</v>
      </c>
      <c r="D33" s="4" t="s">
        <v>49</v>
      </c>
      <c r="E33" s="4" t="s">
        <v>113</v>
      </c>
      <c r="F33" s="5">
        <v>45260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114</v>
      </c>
      <c r="F34" s="5">
        <v>45264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115</v>
      </c>
      <c r="F35" s="5">
        <v>45271</v>
      </c>
    </row>
    <row r="36" spans="1:6" x14ac:dyDescent="0.25">
      <c r="A36" s="4" t="s">
        <v>106</v>
      </c>
      <c r="B36" s="4" t="s">
        <v>38</v>
      </c>
      <c r="C36" s="4" t="s">
        <v>31</v>
      </c>
      <c r="D36" s="4" t="s">
        <v>49</v>
      </c>
      <c r="E36" s="4" t="s">
        <v>116</v>
      </c>
      <c r="F36" s="5">
        <v>45294</v>
      </c>
    </row>
    <row r="37" spans="1:6" x14ac:dyDescent="0.25">
      <c r="A37" s="4" t="s">
        <v>111</v>
      </c>
      <c r="B37" s="4" t="s">
        <v>118</v>
      </c>
      <c r="C37" s="4" t="s">
        <v>119</v>
      </c>
      <c r="D37" s="4" t="s">
        <v>49</v>
      </c>
      <c r="E37" s="4" t="s">
        <v>120</v>
      </c>
      <c r="F37" s="5">
        <v>45299</v>
      </c>
    </row>
    <row r="38" spans="1:6" x14ac:dyDescent="0.25">
      <c r="A38" s="4" t="s">
        <v>122</v>
      </c>
      <c r="B38" s="4" t="s">
        <v>38</v>
      </c>
      <c r="C38" s="4" t="s">
        <v>123</v>
      </c>
      <c r="D38" s="4" t="s">
        <v>49</v>
      </c>
      <c r="E38" s="4" t="s">
        <v>124</v>
      </c>
      <c r="F38" s="5">
        <v>45777</v>
      </c>
    </row>
    <row r="39" spans="1:6" x14ac:dyDescent="0.25">
      <c r="A39" s="4" t="s">
        <v>130</v>
      </c>
      <c r="B39" s="4" t="s">
        <v>38</v>
      </c>
      <c r="C39" s="4" t="s">
        <v>131</v>
      </c>
      <c r="D39" s="4" t="s">
        <v>61</v>
      </c>
      <c r="E39" s="4" t="s">
        <v>132</v>
      </c>
      <c r="F39" s="5">
        <v>45783</v>
      </c>
    </row>
    <row r="40" spans="1:6" x14ac:dyDescent="0.25">
      <c r="A40" s="4" t="s">
        <v>130</v>
      </c>
      <c r="B40" s="4" t="s">
        <v>38</v>
      </c>
      <c r="C40" s="4" t="s">
        <v>131</v>
      </c>
      <c r="D40" s="4" t="s">
        <v>61</v>
      </c>
      <c r="E40" s="4" t="s">
        <v>133</v>
      </c>
      <c r="F40" s="5">
        <v>45783</v>
      </c>
    </row>
    <row r="41" spans="1:6" x14ac:dyDescent="0.25">
      <c r="A41" s="4" t="s">
        <v>130</v>
      </c>
      <c r="B41" s="4" t="s">
        <v>38</v>
      </c>
      <c r="C41" s="4" t="s">
        <v>131</v>
      </c>
      <c r="D41" s="4" t="s">
        <v>61</v>
      </c>
      <c r="E41" s="4" t="s">
        <v>133</v>
      </c>
      <c r="F41" s="5">
        <v>45783</v>
      </c>
    </row>
    <row r="42" spans="1:6" x14ac:dyDescent="0.25">
      <c r="A42" s="4" t="s">
        <v>134</v>
      </c>
      <c r="B42" s="4" t="s">
        <v>38</v>
      </c>
      <c r="C42" s="4" t="s">
        <v>136</v>
      </c>
      <c r="D42" s="4" t="s">
        <v>61</v>
      </c>
      <c r="E42" s="4" t="s">
        <v>135</v>
      </c>
      <c r="F42" s="5">
        <v>45810</v>
      </c>
    </row>
    <row r="43" spans="1:6" x14ac:dyDescent="0.25">
      <c r="A43" s="4" t="s">
        <v>137</v>
      </c>
      <c r="B43" s="4" t="s">
        <v>38</v>
      </c>
      <c r="C43" s="4" t="s">
        <v>138</v>
      </c>
      <c r="D43" s="4" t="s">
        <v>21</v>
      </c>
      <c r="E43" s="4" t="s">
        <v>139</v>
      </c>
      <c r="F43" s="5">
        <v>45810</v>
      </c>
    </row>
    <row r="44" spans="1:6" x14ac:dyDescent="0.25">
      <c r="A44" s="4" t="s">
        <v>140</v>
      </c>
      <c r="B44" s="4" t="s">
        <v>38</v>
      </c>
      <c r="C44" s="4" t="s">
        <v>142</v>
      </c>
      <c r="D44" s="4" t="s">
        <v>61</v>
      </c>
      <c r="E44" s="4" t="s">
        <v>141</v>
      </c>
      <c r="F44" s="5">
        <v>45812</v>
      </c>
    </row>
    <row r="45" spans="1:6" x14ac:dyDescent="0.25">
      <c r="A45" s="4" t="s">
        <v>134</v>
      </c>
      <c r="B45" s="4" t="s">
        <v>38</v>
      </c>
      <c r="C45" s="4" t="s">
        <v>136</v>
      </c>
      <c r="D45" s="4" t="s">
        <v>61</v>
      </c>
      <c r="E45" s="4" t="s">
        <v>143</v>
      </c>
      <c r="F45" s="5">
        <v>45813</v>
      </c>
    </row>
    <row r="46" spans="1:6" x14ac:dyDescent="0.25">
      <c r="A46" s="4" t="s">
        <v>144</v>
      </c>
      <c r="B46" s="4" t="s">
        <v>38</v>
      </c>
      <c r="C46" s="4" t="s">
        <v>145</v>
      </c>
      <c r="D46" s="4" t="s">
        <v>49</v>
      </c>
      <c r="E46" s="4" t="s">
        <v>146</v>
      </c>
      <c r="F46" s="5">
        <v>45819</v>
      </c>
    </row>
    <row r="47" spans="1:6" x14ac:dyDescent="0.25">
      <c r="A47" s="4" t="s">
        <v>140</v>
      </c>
      <c r="B47" s="4" t="s">
        <v>38</v>
      </c>
      <c r="C47" s="4" t="s">
        <v>142</v>
      </c>
      <c r="D47" s="4" t="s">
        <v>61</v>
      </c>
      <c r="E47" s="4" t="s">
        <v>147</v>
      </c>
      <c r="F47" s="5">
        <v>45819</v>
      </c>
    </row>
    <row r="48" spans="1:6" x14ac:dyDescent="0.25">
      <c r="A48" s="4" t="s">
        <v>130</v>
      </c>
      <c r="B48" s="4" t="s">
        <v>38</v>
      </c>
      <c r="C48" s="4" t="s">
        <v>131</v>
      </c>
      <c r="D48" s="4" t="s">
        <v>61</v>
      </c>
      <c r="E48" s="4" t="s">
        <v>148</v>
      </c>
      <c r="F48" s="5">
        <v>45819</v>
      </c>
    </row>
    <row r="49" spans="1:6" x14ac:dyDescent="0.25">
      <c r="A49" s="4" t="s">
        <v>144</v>
      </c>
      <c r="B49" s="4" t="s">
        <v>38</v>
      </c>
      <c r="C49" s="4" t="s">
        <v>145</v>
      </c>
      <c r="D49" s="4" t="s">
        <v>49</v>
      </c>
      <c r="E49" s="4" t="s">
        <v>149</v>
      </c>
      <c r="F49" s="5">
        <v>45820</v>
      </c>
    </row>
    <row r="50" spans="1:6" x14ac:dyDescent="0.25">
      <c r="A50" s="4" t="s">
        <v>144</v>
      </c>
      <c r="B50" s="4" t="s">
        <v>38</v>
      </c>
      <c r="C50" s="4" t="s">
        <v>145</v>
      </c>
      <c r="D50" s="4" t="s">
        <v>49</v>
      </c>
      <c r="E50" s="4" t="s">
        <v>150</v>
      </c>
      <c r="F50" s="5">
        <v>45820</v>
      </c>
    </row>
    <row r="51" spans="1:6" x14ac:dyDescent="0.25">
      <c r="A51" s="4" t="s">
        <v>130</v>
      </c>
      <c r="B51" s="4" t="s">
        <v>38</v>
      </c>
      <c r="C51" s="4" t="s">
        <v>151</v>
      </c>
      <c r="D51" s="4" t="s">
        <v>61</v>
      </c>
      <c r="E51" s="4" t="s">
        <v>152</v>
      </c>
      <c r="F51" s="5">
        <v>45820</v>
      </c>
    </row>
    <row r="52" spans="1:6" x14ac:dyDescent="0.25">
      <c r="A52" s="4" t="s">
        <v>134</v>
      </c>
      <c r="B52" s="4" t="s">
        <v>38</v>
      </c>
      <c r="C52" s="4" t="s">
        <v>153</v>
      </c>
      <c r="D52" s="4" t="s">
        <v>61</v>
      </c>
      <c r="E52" s="4" t="s">
        <v>154</v>
      </c>
      <c r="F52" s="5">
        <v>45821</v>
      </c>
    </row>
    <row r="53" spans="1:6" x14ac:dyDescent="0.25">
      <c r="A53" s="4" t="s">
        <v>155</v>
      </c>
      <c r="B53" s="4" t="s">
        <v>38</v>
      </c>
      <c r="C53" s="4" t="s">
        <v>156</v>
      </c>
      <c r="D53" s="4" t="s">
        <v>49</v>
      </c>
      <c r="E53" s="4" t="s">
        <v>157</v>
      </c>
      <c r="F53" s="5">
        <v>45824</v>
      </c>
    </row>
    <row r="54" spans="1:6" x14ac:dyDescent="0.25">
      <c r="A54" s="4" t="s">
        <v>158</v>
      </c>
      <c r="B54" s="4" t="s">
        <v>38</v>
      </c>
      <c r="C54" s="4" t="s">
        <v>159</v>
      </c>
      <c r="D54" s="4" t="s">
        <v>61</v>
      </c>
      <c r="E54" s="4" t="s">
        <v>160</v>
      </c>
      <c r="F54" s="5">
        <v>45825</v>
      </c>
    </row>
    <row r="55" spans="1:6" x14ac:dyDescent="0.25">
      <c r="A55" s="4" t="s">
        <v>130</v>
      </c>
      <c r="B55" s="4" t="s">
        <v>38</v>
      </c>
      <c r="C55" s="4" t="s">
        <v>161</v>
      </c>
      <c r="D55" s="4" t="s">
        <v>61</v>
      </c>
      <c r="E55" s="4" t="s">
        <v>162</v>
      </c>
      <c r="F55" s="5">
        <v>45825</v>
      </c>
    </row>
    <row r="56" spans="1:6" x14ac:dyDescent="0.25">
      <c r="A56" s="4" t="s">
        <v>163</v>
      </c>
      <c r="B56" s="4" t="s">
        <v>38</v>
      </c>
      <c r="C56" s="4" t="s">
        <v>165</v>
      </c>
      <c r="D56" s="4" t="s">
        <v>166</v>
      </c>
      <c r="E56" s="4" t="s">
        <v>164</v>
      </c>
      <c r="F56" s="5">
        <v>45826</v>
      </c>
    </row>
    <row r="57" spans="1:6" x14ac:dyDescent="0.25">
      <c r="A57" s="4" t="s">
        <v>167</v>
      </c>
      <c r="B57" s="4" t="s">
        <v>38</v>
      </c>
      <c r="C57" s="4" t="s">
        <v>165</v>
      </c>
      <c r="D57" s="4" t="s">
        <v>166</v>
      </c>
      <c r="E57" s="4" t="s">
        <v>164</v>
      </c>
      <c r="F57" s="5">
        <v>45826</v>
      </c>
    </row>
    <row r="58" spans="1:6" x14ac:dyDescent="0.25">
      <c r="A58" s="4" t="s">
        <v>167</v>
      </c>
      <c r="B58" s="4" t="s">
        <v>38</v>
      </c>
      <c r="C58" s="4" t="s">
        <v>165</v>
      </c>
      <c r="D58" s="4" t="s">
        <v>166</v>
      </c>
      <c r="E58" s="4" t="s">
        <v>168</v>
      </c>
      <c r="F58" s="5">
        <v>45827</v>
      </c>
    </row>
    <row r="59" spans="1:6" x14ac:dyDescent="0.25">
      <c r="A59" s="4" t="s">
        <v>130</v>
      </c>
      <c r="B59" s="4" t="s">
        <v>38</v>
      </c>
      <c r="C59" s="4" t="s">
        <v>161</v>
      </c>
      <c r="D59" s="4" t="s">
        <v>61</v>
      </c>
      <c r="E59" s="4" t="s">
        <v>169</v>
      </c>
      <c r="F59" s="5">
        <v>45828</v>
      </c>
    </row>
    <row r="60" spans="1:6" x14ac:dyDescent="0.25">
      <c r="A60" s="4" t="s">
        <v>134</v>
      </c>
      <c r="B60" s="4" t="s">
        <v>38</v>
      </c>
      <c r="C60" s="4" t="s">
        <v>153</v>
      </c>
      <c r="D60" s="4" t="s">
        <v>61</v>
      </c>
      <c r="E60" s="4" t="s">
        <v>170</v>
      </c>
      <c r="F60" s="5">
        <v>45831</v>
      </c>
    </row>
    <row r="61" spans="1:6" x14ac:dyDescent="0.25">
      <c r="A61" s="4" t="s">
        <v>155</v>
      </c>
      <c r="B61" s="4" t="s">
        <v>38</v>
      </c>
      <c r="C61" s="4" t="s">
        <v>156</v>
      </c>
      <c r="D61" s="4" t="s">
        <v>49</v>
      </c>
      <c r="E61" s="4" t="s">
        <v>171</v>
      </c>
      <c r="F61" s="5">
        <v>45835</v>
      </c>
    </row>
    <row r="62" spans="1:6" x14ac:dyDescent="0.25">
      <c r="A62" s="4" t="s">
        <v>130</v>
      </c>
      <c r="B62" s="4" t="s">
        <v>38</v>
      </c>
      <c r="C62" s="4" t="s">
        <v>161</v>
      </c>
      <c r="D62" s="4" t="s">
        <v>61</v>
      </c>
      <c r="E62" s="4" t="s">
        <v>169</v>
      </c>
      <c r="F62" s="5">
        <v>45839</v>
      </c>
    </row>
    <row r="63" spans="1:6" x14ac:dyDescent="0.25">
      <c r="A63" s="4" t="s">
        <v>172</v>
      </c>
      <c r="B63" s="4" t="s">
        <v>38</v>
      </c>
      <c r="C63" s="4" t="s">
        <v>173</v>
      </c>
      <c r="D63" s="4" t="s">
        <v>49</v>
      </c>
      <c r="E63" s="4" t="s">
        <v>174</v>
      </c>
      <c r="F63" s="5">
        <v>45840</v>
      </c>
    </row>
    <row r="64" spans="1:6" x14ac:dyDescent="0.25">
      <c r="A64" s="4" t="s">
        <v>175</v>
      </c>
      <c r="B64" s="4" t="s">
        <v>38</v>
      </c>
      <c r="C64" s="4" t="s">
        <v>136</v>
      </c>
      <c r="D64" s="4" t="s">
        <v>61</v>
      </c>
      <c r="E64" s="4" t="s">
        <v>176</v>
      </c>
      <c r="F64" s="5">
        <v>45847</v>
      </c>
    </row>
    <row r="65" spans="1:6" x14ac:dyDescent="0.25">
      <c r="A65" s="4" t="s">
        <v>177</v>
      </c>
      <c r="B65" s="4" t="s">
        <v>38</v>
      </c>
      <c r="C65" s="4" t="s">
        <v>179</v>
      </c>
      <c r="D65" s="4" t="s">
        <v>49</v>
      </c>
      <c r="E65" s="4" t="s">
        <v>178</v>
      </c>
      <c r="F65" s="5">
        <v>45852</v>
      </c>
    </row>
    <row r="66" spans="1:6" x14ac:dyDescent="0.25">
      <c r="A66" s="4" t="s">
        <v>134</v>
      </c>
      <c r="B66" s="4" t="s">
        <v>38</v>
      </c>
      <c r="C66" s="4" t="s">
        <v>136</v>
      </c>
      <c r="D66" s="4" t="s">
        <v>61</v>
      </c>
      <c r="E66" s="4" t="s">
        <v>180</v>
      </c>
      <c r="F66" s="5">
        <v>45852</v>
      </c>
    </row>
    <row r="67" spans="1:6" x14ac:dyDescent="0.25">
      <c r="A67" s="4" t="s">
        <v>140</v>
      </c>
      <c r="B67" s="4" t="s">
        <v>38</v>
      </c>
      <c r="C67" s="4" t="s">
        <v>142</v>
      </c>
      <c r="D67" s="4" t="s">
        <v>61</v>
      </c>
      <c r="E67" s="4" t="s">
        <v>181</v>
      </c>
      <c r="F67" s="5">
        <v>45856</v>
      </c>
    </row>
    <row r="68" spans="1:6" x14ac:dyDescent="0.25">
      <c r="A68" s="4" t="s">
        <v>155</v>
      </c>
      <c r="B68" s="4" t="s">
        <v>38</v>
      </c>
      <c r="C68" s="4" t="s">
        <v>156</v>
      </c>
      <c r="D68" s="4" t="s">
        <v>49</v>
      </c>
      <c r="E68" s="4" t="s">
        <v>182</v>
      </c>
      <c r="F68" s="5">
        <v>45856</v>
      </c>
    </row>
    <row r="69" spans="1:6" x14ac:dyDescent="0.25">
      <c r="A69" s="4" t="s">
        <v>183</v>
      </c>
      <c r="B69" s="4" t="s">
        <v>38</v>
      </c>
      <c r="C69" s="4" t="s">
        <v>138</v>
      </c>
      <c r="D69" s="4" t="s">
        <v>184</v>
      </c>
      <c r="E69" s="4" t="s">
        <v>185</v>
      </c>
      <c r="F69" s="5">
        <v>45860</v>
      </c>
    </row>
    <row r="70" spans="1:6" x14ac:dyDescent="0.25">
      <c r="A70" s="4" t="s">
        <v>140</v>
      </c>
      <c r="B70" s="4" t="s">
        <v>38</v>
      </c>
      <c r="C70" s="4" t="s">
        <v>142</v>
      </c>
      <c r="D70" s="4" t="s">
        <v>61</v>
      </c>
      <c r="E70" s="4" t="s">
        <v>186</v>
      </c>
      <c r="F70" s="5">
        <v>45862</v>
      </c>
    </row>
    <row r="71" spans="1:6" x14ac:dyDescent="0.25">
      <c r="A71" s="4" t="s">
        <v>183</v>
      </c>
      <c r="B71" s="4" t="s">
        <v>38</v>
      </c>
      <c r="C71" s="4" t="s">
        <v>138</v>
      </c>
      <c r="D71" s="4" t="s">
        <v>184</v>
      </c>
      <c r="E71" s="4" t="s">
        <v>187</v>
      </c>
      <c r="F71" s="5">
        <v>45866</v>
      </c>
    </row>
    <row r="72" spans="1:6" x14ac:dyDescent="0.25">
      <c r="A72" s="4" t="s">
        <v>183</v>
      </c>
      <c r="B72" s="4" t="s">
        <v>38</v>
      </c>
      <c r="C72" s="4" t="s">
        <v>138</v>
      </c>
      <c r="D72" s="4" t="s">
        <v>184</v>
      </c>
      <c r="E72" s="4" t="s">
        <v>188</v>
      </c>
      <c r="F72" s="5">
        <v>45867</v>
      </c>
    </row>
    <row r="73" spans="1:6" x14ac:dyDescent="0.25">
      <c r="A73" s="4" t="s">
        <v>183</v>
      </c>
      <c r="B73" s="4" t="s">
        <v>38</v>
      </c>
      <c r="C73" s="4" t="s">
        <v>138</v>
      </c>
      <c r="D73" s="4" t="s">
        <v>184</v>
      </c>
      <c r="E73" s="4" t="s">
        <v>189</v>
      </c>
      <c r="F73" s="5">
        <v>45868</v>
      </c>
    </row>
    <row r="74" spans="1:6" x14ac:dyDescent="0.25">
      <c r="A74" s="4" t="s">
        <v>190</v>
      </c>
      <c r="B74" s="4" t="s">
        <v>38</v>
      </c>
      <c r="C74" s="4" t="s">
        <v>145</v>
      </c>
      <c r="D74" s="4" t="s">
        <v>49</v>
      </c>
      <c r="E74" s="4" t="s">
        <v>191</v>
      </c>
      <c r="F74" s="5">
        <v>45869</v>
      </c>
    </row>
    <row r="75" spans="1:6" x14ac:dyDescent="0.25">
      <c r="A75" s="4" t="s">
        <v>193</v>
      </c>
      <c r="B75" s="4" t="s">
        <v>38</v>
      </c>
      <c r="C75" s="4" t="s">
        <v>194</v>
      </c>
      <c r="D75" s="4" t="s">
        <v>195</v>
      </c>
      <c r="E75" s="4" t="s">
        <v>196</v>
      </c>
      <c r="F75" s="5">
        <v>45901</v>
      </c>
    </row>
    <row r="76" spans="1:6" x14ac:dyDescent="0.25">
      <c r="A76" s="4" t="s">
        <v>192</v>
      </c>
      <c r="B76" s="4" t="s">
        <v>38</v>
      </c>
      <c r="C76" s="4" t="s">
        <v>194</v>
      </c>
      <c r="D76" s="4" t="s">
        <v>195</v>
      </c>
      <c r="E76" s="4" t="s">
        <v>197</v>
      </c>
      <c r="F76" s="5">
        <v>45901</v>
      </c>
    </row>
    <row r="77" spans="1:6" x14ac:dyDescent="0.25">
      <c r="A77" s="4" t="s">
        <v>158</v>
      </c>
      <c r="B77" s="4" t="s">
        <v>38</v>
      </c>
      <c r="C77" s="4" t="s">
        <v>198</v>
      </c>
      <c r="D77" s="4" t="s">
        <v>61</v>
      </c>
      <c r="E77" s="4" t="s">
        <v>199</v>
      </c>
      <c r="F77" s="5">
        <v>45901</v>
      </c>
    </row>
    <row r="78" spans="1:6" x14ac:dyDescent="0.25">
      <c r="A78" s="4" t="s">
        <v>201</v>
      </c>
      <c r="B78" s="4" t="s">
        <v>38</v>
      </c>
      <c r="C78" s="4" t="s">
        <v>200</v>
      </c>
      <c r="D78" s="4" t="s">
        <v>21</v>
      </c>
      <c r="E78" s="4" t="s">
        <v>202</v>
      </c>
      <c r="F78" s="5">
        <v>45903</v>
      </c>
    </row>
    <row r="79" spans="1:6" x14ac:dyDescent="0.25">
      <c r="A79" s="4" t="s">
        <v>201</v>
      </c>
      <c r="B79" s="4" t="s">
        <v>38</v>
      </c>
      <c r="C79" s="4" t="s">
        <v>200</v>
      </c>
      <c r="D79" s="4" t="s">
        <v>21</v>
      </c>
      <c r="E79" s="4" t="s">
        <v>203</v>
      </c>
      <c r="F79" s="5">
        <v>45909</v>
      </c>
    </row>
    <row r="80" spans="1:6" x14ac:dyDescent="0.25">
      <c r="A80" s="4" t="s">
        <v>204</v>
      </c>
      <c r="B80" s="4" t="s">
        <v>38</v>
      </c>
      <c r="C80" s="4" t="s">
        <v>205</v>
      </c>
      <c r="D80" s="4" t="s">
        <v>21</v>
      </c>
      <c r="E80" s="4" t="s">
        <v>206</v>
      </c>
      <c r="F80" s="5">
        <v>45911</v>
      </c>
    </row>
    <row r="81" spans="1:6" x14ac:dyDescent="0.25">
      <c r="A81" s="4" t="s">
        <v>183</v>
      </c>
      <c r="B81" s="4" t="s">
        <v>38</v>
      </c>
      <c r="C81" s="4" t="s">
        <v>138</v>
      </c>
      <c r="D81" s="4" t="s">
        <v>184</v>
      </c>
      <c r="E81" s="4" t="s">
        <v>207</v>
      </c>
      <c r="F81" s="5">
        <v>45915</v>
      </c>
    </row>
    <row r="82" spans="1:6" x14ac:dyDescent="0.25">
      <c r="A82" s="4" t="s">
        <v>208</v>
      </c>
      <c r="B82" s="4" t="s">
        <v>38</v>
      </c>
      <c r="C82" s="4" t="s">
        <v>210</v>
      </c>
      <c r="D82" s="4" t="s">
        <v>61</v>
      </c>
      <c r="E82" s="4" t="s">
        <v>209</v>
      </c>
      <c r="F82" s="5">
        <v>45916</v>
      </c>
    </row>
    <row r="83" spans="1:6" x14ac:dyDescent="0.25">
      <c r="A83" s="4" t="s">
        <v>211</v>
      </c>
      <c r="B83" s="4" t="s">
        <v>38</v>
      </c>
      <c r="C83" s="4" t="s">
        <v>210</v>
      </c>
      <c r="D83" s="4" t="s">
        <v>61</v>
      </c>
      <c r="E83" s="4" t="s">
        <v>212</v>
      </c>
      <c r="F83" s="5">
        <v>45918</v>
      </c>
    </row>
    <row r="84" spans="1:6" x14ac:dyDescent="0.25">
      <c r="A84" s="4" t="s">
        <v>217</v>
      </c>
      <c r="B84" s="4" t="s">
        <v>38</v>
      </c>
      <c r="C84" s="4" t="s">
        <v>153</v>
      </c>
      <c r="D84" s="4" t="s">
        <v>49</v>
      </c>
      <c r="E84" s="4" t="s">
        <v>216</v>
      </c>
      <c r="F84" s="5">
        <v>45918</v>
      </c>
    </row>
    <row r="85" spans="1:6" x14ac:dyDescent="0.25">
      <c r="A85" s="4" t="s">
        <v>155</v>
      </c>
      <c r="B85" s="4" t="s">
        <v>38</v>
      </c>
      <c r="C85" s="4" t="s">
        <v>156</v>
      </c>
      <c r="D85" s="4" t="s">
        <v>49</v>
      </c>
      <c r="E85" s="4" t="s">
        <v>218</v>
      </c>
      <c r="F85" s="5">
        <v>45919</v>
      </c>
    </row>
    <row r="86" spans="1:6" x14ac:dyDescent="0.25">
      <c r="A86" s="4" t="s">
        <v>183</v>
      </c>
      <c r="B86" s="4" t="s">
        <v>38</v>
      </c>
      <c r="C86" s="4" t="s">
        <v>138</v>
      </c>
      <c r="D86" s="4" t="s">
        <v>184</v>
      </c>
      <c r="E86" s="4" t="s">
        <v>207</v>
      </c>
      <c r="F86" s="5">
        <v>45922</v>
      </c>
    </row>
    <row r="87" spans="1:6" x14ac:dyDescent="0.25">
      <c r="A87" s="4" t="s">
        <v>155</v>
      </c>
      <c r="B87" s="4" t="s">
        <v>38</v>
      </c>
      <c r="C87" s="4" t="s">
        <v>219</v>
      </c>
      <c r="D87" s="4" t="s">
        <v>49</v>
      </c>
      <c r="E87" s="4" t="s">
        <v>220</v>
      </c>
      <c r="F87" s="5">
        <v>45923</v>
      </c>
    </row>
    <row r="88" spans="1:6" x14ac:dyDescent="0.25">
      <c r="A88" s="4" t="s">
        <v>221</v>
      </c>
      <c r="B88" s="4" t="s">
        <v>38</v>
      </c>
      <c r="C88" s="4" t="s">
        <v>224</v>
      </c>
      <c r="D88" s="4" t="s">
        <v>225</v>
      </c>
      <c r="E88" s="4" t="s">
        <v>226</v>
      </c>
      <c r="F88" s="5">
        <v>45923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2025-09-23T06:36:00Z</dcterms:modified>
</cp:coreProperties>
</file>