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730" codeName="{80610A8E-5010-04F8-B4C4-4C452766216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lejandro.berzal\Desktop\DATA SCIENCE\DocuControl\tools\"/>
    </mc:Choice>
  </mc:AlternateContent>
  <xr:revisionPtr revIDLastSave="0" documentId="13_ncr:1_{D2EE0F17-51E2-4C5A-B041-50ED3AB7CCC0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Plantilla reporte" sheetId="1" r:id="rId1"/>
    <sheet name="TRANSMISIONES" sheetId="2" r:id="rId2"/>
  </sheets>
  <functionGroups builtInGroupCount="19"/>
  <definedNames>
    <definedName name="_xlnm._FilterDatabase" localSheetId="0" hidden="1">'Plantilla reporte'!$A$6:$F$6</definedName>
    <definedName name="_xlnm._FilterDatabase" localSheetId="1" hidden="1">TRANSMISIONES!$A$1:$F$1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" i="1" l="1"/>
  <c r="L1" i="1"/>
  <c r="M1" i="1" s="1"/>
</calcChain>
</file>

<file path=xl/sharedStrings.xml><?xml version="1.0" encoding="utf-8"?>
<sst xmlns="http://schemas.openxmlformats.org/spreadsheetml/2006/main" count="289" uniqueCount="151">
  <si>
    <t>PROYECTO</t>
  </si>
  <si>
    <t>TIPO</t>
  </si>
  <si>
    <t>PEDIDO</t>
  </si>
  <si>
    <t>SUPLEMENTO</t>
  </si>
  <si>
    <t>TÍTULO</t>
  </si>
  <si>
    <t>santos-sanchez@eipsa.es</t>
  </si>
  <si>
    <t>TRANSMITTAL</t>
  </si>
  <si>
    <t>DOCUMENTOS</t>
  </si>
  <si>
    <t xml:space="preserve">descargar doc </t>
  </si>
  <si>
    <t>actualizar ctf</t>
  </si>
  <si>
    <t>revisar correo</t>
  </si>
  <si>
    <t>enviar correo</t>
  </si>
  <si>
    <t>ACTUALIZAR PLANTILLA</t>
  </si>
  <si>
    <t>1º</t>
  </si>
  <si>
    <t>2º</t>
  </si>
  <si>
    <t>3º</t>
  </si>
  <si>
    <t>4º</t>
  </si>
  <si>
    <t>5º</t>
  </si>
  <si>
    <t>6º</t>
  </si>
  <si>
    <t>ORGANIZAR DOC</t>
  </si>
  <si>
    <t>CRISP</t>
  </si>
  <si>
    <t>RO</t>
  </si>
  <si>
    <t>\\SRVAD01\base de datos de pedidos\Año 2023\2023 Pedidos\P-23-024 - ARAMCO - PLACA\[CTF P-23-024.xlsm]Técnica'!</t>
  </si>
  <si>
    <t>REF</t>
  </si>
  <si>
    <t>SASA</t>
  </si>
  <si>
    <t>MARJAN</t>
  </si>
  <si>
    <t>DUQM</t>
  </si>
  <si>
    <t>YPF</t>
  </si>
  <si>
    <t>DALMA-ADNOC</t>
  </si>
  <si>
    <t>INEOS</t>
  </si>
  <si>
    <t>QTAR EPC-4</t>
  </si>
  <si>
    <t>QATAR EPC-3</t>
  </si>
  <si>
    <t>CC MÉRIDA</t>
  </si>
  <si>
    <t>CC VALLADOLID</t>
  </si>
  <si>
    <t>CC G ORTEGA</t>
  </si>
  <si>
    <t>CC S.LUIS</t>
  </si>
  <si>
    <t>DÍA</t>
  </si>
  <si>
    <t>P-22/037</t>
  </si>
  <si>
    <t>S00</t>
  </si>
  <si>
    <t>10230-TR-V-13192</t>
  </si>
  <si>
    <t>10230-TR-V-13231</t>
  </si>
  <si>
    <t>S00 // S02</t>
  </si>
  <si>
    <t>T-1016010920-00069</t>
  </si>
  <si>
    <t>s00</t>
  </si>
  <si>
    <t>P-20/017 P-22/054</t>
  </si>
  <si>
    <t>s02</t>
  </si>
  <si>
    <t>1016010920-00070</t>
  </si>
  <si>
    <t>P-23/029</t>
  </si>
  <si>
    <t>CC G.ORTEGA</t>
  </si>
  <si>
    <t>CAUDAL</t>
  </si>
  <si>
    <t>NEW VDDL</t>
  </si>
  <si>
    <t>P-23/030</t>
  </si>
  <si>
    <t>70215-UTE-VEN-TV-00770</t>
  </si>
  <si>
    <t>P-23/002</t>
  </si>
  <si>
    <t>NUESTRA REV</t>
  </si>
  <si>
    <t>TÍTULO CLIENTE</t>
  </si>
  <si>
    <t>REV CLIENTE</t>
  </si>
  <si>
    <t xml:space="preserve">ESTADO </t>
  </si>
  <si>
    <t>P-23/003</t>
  </si>
  <si>
    <t>70225-UTE-VEN-TV-00740</t>
  </si>
  <si>
    <t>70225-UTE-VEN-TV-00818</t>
  </si>
  <si>
    <t>TEMPERATURA</t>
  </si>
  <si>
    <t>P-23/027</t>
  </si>
  <si>
    <t>QATAR-GAS</t>
  </si>
  <si>
    <t>1037010640-T-0001</t>
  </si>
  <si>
    <t>P-20/017</t>
  </si>
  <si>
    <t>T-1016010920-00073</t>
  </si>
  <si>
    <t>P-23/028</t>
  </si>
  <si>
    <t>QATAR GAS</t>
  </si>
  <si>
    <t>BIMETÁLICOS</t>
  </si>
  <si>
    <t>1037010610-T-0001</t>
  </si>
  <si>
    <t>CC-VALLADOLID</t>
  </si>
  <si>
    <t>70225-UTE-VEN-TV-00967</t>
  </si>
  <si>
    <t>1037010610-T-0002</t>
  </si>
  <si>
    <t>PA-23-044</t>
  </si>
  <si>
    <t>MDEA BIOBIO</t>
  </si>
  <si>
    <t>80091-TR-VEN-3815</t>
  </si>
  <si>
    <t>P-20/025</t>
  </si>
  <si>
    <t>S00 // S01 // S02</t>
  </si>
  <si>
    <t>BAPCO</t>
  </si>
  <si>
    <t>MOC-VEND-TRA-0070_000M-1554-003</t>
  </si>
  <si>
    <t>P-20/020</t>
  </si>
  <si>
    <t>T-1016010610-00018</t>
  </si>
  <si>
    <t>QATARGAS</t>
  </si>
  <si>
    <t>1037010640-T-0003</t>
  </si>
  <si>
    <t>P-23/036</t>
  </si>
  <si>
    <t>BUHASA</t>
  </si>
  <si>
    <t>80057-TR-VD-T-014517</t>
  </si>
  <si>
    <t>P-23/001</t>
  </si>
  <si>
    <t>TEMP</t>
  </si>
  <si>
    <t>1040010640-VT-00003</t>
  </si>
  <si>
    <t>T-1038010610-0005</t>
  </si>
  <si>
    <t>23/026</t>
  </si>
  <si>
    <t>T-1038010610-0006</t>
  </si>
  <si>
    <t>1037010610-T-0006</t>
  </si>
  <si>
    <t>P-23-044</t>
  </si>
  <si>
    <t>1037010910-T-0003</t>
  </si>
  <si>
    <t>p-23/027</t>
  </si>
  <si>
    <t>QATAR-GAS epc3</t>
  </si>
  <si>
    <t>temperatura</t>
  </si>
  <si>
    <t>1037010640-T-0011</t>
  </si>
  <si>
    <t>p-22/037</t>
  </si>
  <si>
    <t>10230-TR-V-15083</t>
  </si>
  <si>
    <t>MÚLTIPLES</t>
  </si>
  <si>
    <t>80057-TR-VD-T-014742</t>
  </si>
  <si>
    <t>1037010910-T-0005</t>
  </si>
  <si>
    <t>P-23/044</t>
  </si>
  <si>
    <t>QATAR EPC3</t>
  </si>
  <si>
    <t>P-23/076</t>
  </si>
  <si>
    <t>CC SANLUIS</t>
  </si>
  <si>
    <t>70240-UTE-VEN-TV-01992</t>
  </si>
  <si>
    <t>P-21/003</t>
  </si>
  <si>
    <t>S00 S04</t>
  </si>
  <si>
    <t>10230-TR-V-17076</t>
  </si>
  <si>
    <t>1037010910-T-0023</t>
  </si>
  <si>
    <t>1037010910-T-0024</t>
  </si>
  <si>
    <t>1037010910-T-0027</t>
  </si>
  <si>
    <t>C - REVIEWED WITH MINOR COMMENTS</t>
  </si>
  <si>
    <t>S00/S01</t>
  </si>
  <si>
    <t>MARJAL</t>
  </si>
  <si>
    <t>10230-TR-V-17544</t>
  </si>
  <si>
    <t>F - REVIEWED WITHOUT COMMENTS</t>
  </si>
  <si>
    <t>P-24/061</t>
  </si>
  <si>
    <t>SACYR/CEPSA</t>
  </si>
  <si>
    <t>P-24/061_16</t>
  </si>
  <si>
    <t>To:</t>
  </si>
  <si>
    <t>CC:</t>
  </si>
  <si>
    <t>luis-bravo@eipsa.es;jesus-martinez@eipsa.es;ernesto-carrillo@eipsa.es</t>
  </si>
  <si>
    <t>sandra-sanz@eipsa.es;jesus-martinez@eipsa.es;ernesto-carrillo@eipsa.es</t>
  </si>
  <si>
    <t>ana-calvo@eipsa.es;jesus-martinez@eipsa.es;ernesto-carrillo@eipsa.es</t>
  </si>
  <si>
    <t>P-24/0-S00//TRANSMITTAL P-24/0</t>
  </si>
  <si>
    <t>carlos-crespohor@eipsa.es;jesus-martinez@eipsa.es;ernesto-carrillo@eipsa.es</t>
  </si>
  <si>
    <t>P-25/009</t>
  </si>
  <si>
    <t>SENER/GATE</t>
  </si>
  <si>
    <t>P-25/009_13</t>
  </si>
  <si>
    <t>P-25/009_14</t>
  </si>
  <si>
    <t>P-24/070</t>
  </si>
  <si>
    <t>HYUNDAI/ARAMCO</t>
  </si>
  <si>
    <t>P-24/070_12</t>
  </si>
  <si>
    <t>P-25/013</t>
  </si>
  <si>
    <t>WORLEY/BP</t>
  </si>
  <si>
    <t>P-25/013_1</t>
  </si>
  <si>
    <t>P-25/019</t>
  </si>
  <si>
    <t>JIGPC</t>
  </si>
  <si>
    <t>P-25/019_2</t>
  </si>
  <si>
    <t>CALCULATION - FLOW ELEMENT ORIFICES</t>
  </si>
  <si>
    <t>DIMENSIONAL DRAWINGS - FLOW ELEMENT ORIFICES</t>
  </si>
  <si>
    <t>VD-CI0021-006</t>
  </si>
  <si>
    <t>VD-CI0021-002</t>
  </si>
  <si>
    <t>C</t>
  </si>
  <si>
    <t>P-24/070_13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</si>
</sst>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0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</font>
    <font>
      <b/>
      <sz val="10"/>
      <color theme="1"/>
      <name val="Calibri"/>
      <family val="2"/>
      <scheme val="minor"/>
    </font>
    <font>
      <sz val="10"/>
      <color theme="1"/>
      <name val="Malgun Gothic"/>
      <family val="2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4">
    <xf numFmtId="0" fontId="0" fillId="0" borderId="0" xfId="0"/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0" xfId="0" applyFont="1"/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/>
    <xf numFmtId="0" fontId="2" fillId="0" borderId="0" xfId="0" applyFont="1" applyAlignment="1">
      <alignment horizontal="left"/>
    </xf>
    <xf numFmtId="14" fontId="2" fillId="0" borderId="0" xfId="0" applyNumberFormat="1" applyFont="1" applyAlignment="1">
      <alignment horizontal="left" vertical="center"/>
    </xf>
    <xf numFmtId="0" fontId="5" fillId="0" borderId="0" xfId="0" applyFont="1" applyAlignment="1">
      <alignment horizontal="center" vertical="center" wrapText="1"/>
    </xf>
    <xf numFmtId="0" fontId="3" fillId="0" borderId="0" xfId="1" applyFont="1" applyAlignment="1">
      <alignment horizontal="left" vertical="center"/>
    </xf>
    <xf numFmtId="0" fontId="6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2" fontId="2" fillId="0" borderId="0" xfId="0" applyNumberFormat="1" applyFont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3" fillId="0" borderId="0" xfId="1" applyFont="1"/>
    <xf numFmtId="0" fontId="7" fillId="0" borderId="1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</cellXfs>
  <cellStyles count="2">
    <cellStyle name="Hipervínculo" xfId="1" builtinId="8"/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</xdr:row>
          <xdr:rowOff>95250</xdr:rowOff>
        </xdr:from>
        <xdr:to>
          <xdr:col>11</xdr:col>
          <xdr:colOff>2371725</xdr:colOff>
          <xdr:row>5</xdr:row>
          <xdr:rowOff>276225</xdr:rowOff>
        </xdr:to>
        <xdr:sp macro="" textlink="">
          <xdr:nvSpPr>
            <xdr:cNvPr id="1030" name="CORREO_NUEVO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.bin"/><Relationship Id="rId3" Type="http://schemas.openxmlformats.org/officeDocument/2006/relationships/hyperlink" Target="mailto:ana-calvo@eipsa.es;jesus-martinez@eipsa.es;ernesto-carrillo@eipsa.es" TargetMode="External"/><Relationship Id="rId7" Type="http://schemas.openxmlformats.org/officeDocument/2006/relationships/hyperlink" Target="mailto:luis-bravo@eipsa.es;jesus-martinez@eipsa.es;ernesto-carrillo@eipsa.es" TargetMode="External"/><Relationship Id="rId12" Type="http://schemas.openxmlformats.org/officeDocument/2006/relationships/image" Target="../media/image1.emf"/><Relationship Id="rId2" Type="http://schemas.openxmlformats.org/officeDocument/2006/relationships/hyperlink" Target="mailto:luis-bravo@eipsa.es;jesus-martinez@eipsa.es;ernesto-carrillo@eipsa.es" TargetMode="External"/><Relationship Id="rId1" Type="http://schemas.openxmlformats.org/officeDocument/2006/relationships/hyperlink" Target="mailto:santos-sanchez@eipsa.es" TargetMode="External"/><Relationship Id="rId6" Type="http://schemas.openxmlformats.org/officeDocument/2006/relationships/hyperlink" Target="mailto:carlos-crespohor@eipsa.es;jesus-martinez@eipsa.es;ernesto-carrillo@eipsa.es" TargetMode="External"/><Relationship Id="rId11" Type="http://schemas.openxmlformats.org/officeDocument/2006/relationships/control" Target="../activeX/activeX1.xml"/><Relationship Id="rId5" Type="http://schemas.openxmlformats.org/officeDocument/2006/relationships/hyperlink" Target="mailto:sandra-sanz@eipsa.es;jesus-martinez@eipsa.es;ernesto-carrillo@eipsa.es" TargetMode="External"/><Relationship Id="rId10" Type="http://schemas.openxmlformats.org/officeDocument/2006/relationships/vmlDrawing" Target="../drawings/vmlDrawing1.vml"/><Relationship Id="rId4" Type="http://schemas.openxmlformats.org/officeDocument/2006/relationships/hyperlink" Target="file:///\\SRVAD01\base%20de%20datos%20de%20pedidos\A&#241;o%202023\2023%20Pedidos\P-23-024%20-%20ARAMCO%20-%20PLACA\%5bCTF%20P-23-024.xlsm%5dT&#233;cnica'!" TargetMode="External"/><Relationship Id="rId9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P35"/>
  <sheetViews>
    <sheetView tabSelected="1" zoomScale="85" zoomScaleNormal="85" workbookViewId="0">
      <selection activeCell="L12" sqref="L12"/>
    </sheetView>
  </sheetViews>
  <sheetFormatPr baseColWidth="10" defaultColWidth="9.140625" defaultRowHeight="24.95" customHeight="1" x14ac:dyDescent="0.2"/>
  <cols>
    <col min="1" max="1" width="17.5703125" style="3" bestFit="1" customWidth="1"/>
    <col min="2" max="2" width="17" style="3" bestFit="1" customWidth="1"/>
    <col min="3" max="3" width="42.42578125" style="3" bestFit="1" customWidth="1"/>
    <col min="4" max="4" width="18.28515625" style="3" bestFit="1" customWidth="1"/>
    <col min="5" max="5" width="16" style="7" bestFit="1" customWidth="1"/>
    <col min="6" max="6" width="32.28515625" style="3" bestFit="1" customWidth="1"/>
    <col min="7" max="7" width="3.140625" style="3" bestFit="1" customWidth="1"/>
    <col min="8" max="9" width="3.42578125" style="3" hidden="1" customWidth="1"/>
    <col min="10" max="10" width="3.5703125" style="3" hidden="1" customWidth="1"/>
    <col min="11" max="11" width="3.7109375" style="3" bestFit="1" customWidth="1"/>
    <col min="12" max="12" width="66.7109375" style="3" bestFit="1" customWidth="1"/>
    <col min="13" max="13" width="97.42578125" style="3" bestFit="1" customWidth="1"/>
    <col min="14" max="14" width="3" style="3" customWidth="1"/>
    <col min="15" max="15" width="3" style="3" bestFit="1" customWidth="1"/>
    <col min="16" max="16" width="19" style="3" bestFit="1" customWidth="1"/>
    <col min="17" max="16384" width="9.140625" style="3"/>
  </cols>
  <sheetData>
    <row r="1" spans="1:16" ht="24.95" customHeight="1" x14ac:dyDescent="0.2">
      <c r="A1" s="11" t="s">
        <v>2</v>
      </c>
      <c r="B1" s="12" t="s">
        <v>136</v>
      </c>
      <c r="C1" s="1"/>
      <c r="D1" s="13"/>
      <c r="E1" s="1"/>
      <c r="F1" s="1"/>
      <c r="G1" s="1" t="str">
        <f>MID(B1,3,2)</f>
        <v>24</v>
      </c>
      <c r="H1" s="1"/>
      <c r="I1" s="1"/>
      <c r="J1" s="1"/>
      <c r="K1" s="2"/>
      <c r="L1" s="8">
        <f ca="1">TODAY()</f>
        <v>45797</v>
      </c>
      <c r="M1" s="8">
        <f ca="1">L1+10</f>
        <v>45807</v>
      </c>
      <c r="O1" s="3" t="s">
        <v>13</v>
      </c>
      <c r="P1" s="3" t="s">
        <v>12</v>
      </c>
    </row>
    <row r="2" spans="1:16" ht="24.95" customHeight="1" x14ac:dyDescent="0.2">
      <c r="A2" s="14" t="s">
        <v>3</v>
      </c>
      <c r="B2" s="15" t="s">
        <v>38</v>
      </c>
      <c r="C2" s="1"/>
      <c r="D2" s="1"/>
      <c r="E2" s="16"/>
      <c r="F2" s="16"/>
      <c r="G2" s="1"/>
      <c r="H2" s="1"/>
      <c r="I2" s="1"/>
      <c r="J2" s="1"/>
      <c r="K2" s="2" t="s">
        <v>125</v>
      </c>
      <c r="L2" s="10" t="s">
        <v>5</v>
      </c>
      <c r="O2" s="3" t="s">
        <v>14</v>
      </c>
      <c r="P2" s="3" t="s">
        <v>8</v>
      </c>
    </row>
    <row r="3" spans="1:16" ht="24.95" customHeight="1" x14ac:dyDescent="0.2">
      <c r="A3" s="11" t="s">
        <v>0</v>
      </c>
      <c r="B3" s="12" t="s">
        <v>137</v>
      </c>
      <c r="C3" s="1"/>
      <c r="D3" s="1"/>
      <c r="E3" s="1"/>
      <c r="F3" s="16"/>
      <c r="G3" s="1"/>
      <c r="H3" s="1"/>
      <c r="I3" s="1"/>
      <c r="J3" s="1"/>
      <c r="K3" s="2" t="s">
        <v>126</v>
      </c>
      <c r="L3" s="10" t="s">
        <v>127</v>
      </c>
      <c r="O3" s="3" t="s">
        <v>15</v>
      </c>
      <c r="P3" s="3" t="s">
        <v>9</v>
      </c>
    </row>
    <row r="4" spans="1:16" ht="24.95" customHeight="1" x14ac:dyDescent="0.2">
      <c r="A4" s="11" t="s">
        <v>1</v>
      </c>
      <c r="B4" s="12" t="s">
        <v>49</v>
      </c>
      <c r="C4" s="1"/>
      <c r="D4" s="1"/>
      <c r="E4" s="16"/>
      <c r="F4" s="1"/>
      <c r="G4" s="1"/>
      <c r="H4" s="1"/>
      <c r="I4" s="1"/>
      <c r="J4" s="1"/>
      <c r="K4" s="1"/>
      <c r="L4" s="1"/>
      <c r="O4" s="3" t="s">
        <v>16</v>
      </c>
      <c r="P4" s="3" t="s">
        <v>19</v>
      </c>
    </row>
    <row r="5" spans="1:16" ht="24.95" customHeight="1" x14ac:dyDescent="0.2">
      <c r="A5" s="14" t="s">
        <v>6</v>
      </c>
      <c r="B5" s="15" t="s">
        <v>150</v>
      </c>
      <c r="C5" s="1"/>
      <c r="D5" s="1"/>
      <c r="E5" s="1"/>
      <c r="F5" s="1"/>
      <c r="G5" s="1"/>
      <c r="H5" s="1"/>
      <c r="I5" s="1"/>
      <c r="J5" s="1"/>
      <c r="K5" s="1"/>
      <c r="L5" s="1"/>
      <c r="O5" s="3" t="s">
        <v>17</v>
      </c>
      <c r="P5" s="3" t="s">
        <v>10</v>
      </c>
    </row>
    <row r="6" spans="1:16" ht="24.95" customHeight="1" x14ac:dyDescent="0.2">
      <c r="A6" s="11" t="s">
        <v>7</v>
      </c>
      <c r="B6" s="11" t="s">
        <v>54</v>
      </c>
      <c r="C6" s="11" t="s">
        <v>4</v>
      </c>
      <c r="D6" s="11" t="s">
        <v>55</v>
      </c>
      <c r="E6" s="11" t="s">
        <v>56</v>
      </c>
      <c r="F6" s="11" t="s">
        <v>57</v>
      </c>
      <c r="G6" s="1"/>
      <c r="H6" s="1"/>
      <c r="I6" s="1"/>
      <c r="J6" s="1"/>
      <c r="K6" s="1"/>
      <c r="L6" s="1"/>
      <c r="O6" s="3" t="s">
        <v>18</v>
      </c>
      <c r="P6" s="3" t="s">
        <v>11</v>
      </c>
    </row>
    <row r="7" spans="1:16" ht="24.95" customHeight="1" x14ac:dyDescent="0.2">
      <c r="A7" s="17" t="s">
        <v>147</v>
      </c>
      <c r="B7" s="17">
        <v>3</v>
      </c>
      <c r="C7" s="19" t="s">
        <v>145</v>
      </c>
      <c r="D7" s="17" t="s">
        <v>147</v>
      </c>
      <c r="E7" s="17">
        <v>1</v>
      </c>
      <c r="F7" s="12" t="s">
        <v>117</v>
      </c>
      <c r="G7" s="1"/>
      <c r="H7" s="1"/>
      <c r="I7" s="1"/>
      <c r="J7" s="1"/>
      <c r="K7" s="1"/>
      <c r="L7" s="1"/>
    </row>
    <row r="8" spans="1:16" ht="24.95" customHeight="1" x14ac:dyDescent="0.2">
      <c r="A8" s="17" t="s">
        <v>148</v>
      </c>
      <c r="B8" s="17">
        <v>2</v>
      </c>
      <c r="C8" s="17" t="s">
        <v>146</v>
      </c>
      <c r="D8" s="17" t="s">
        <v>148</v>
      </c>
      <c r="E8" s="17" t="s">
        <v>149</v>
      </c>
      <c r="F8" s="12" t="s">
        <v>117</v>
      </c>
      <c r="G8" s="1"/>
      <c r="H8" s="1"/>
      <c r="I8" s="1"/>
      <c r="J8" s="1"/>
      <c r="K8" s="1"/>
      <c r="L8" s="10" t="s">
        <v>127</v>
      </c>
    </row>
    <row r="9" spans="1:16" ht="24.95" customHeight="1" x14ac:dyDescent="0.2">
      <c r="A9" s="20"/>
      <c r="B9" s="20"/>
      <c r="C9" s="20"/>
      <c r="D9" s="20"/>
      <c r="E9" s="20"/>
      <c r="F9" s="21"/>
      <c r="G9" s="1"/>
      <c r="H9" s="1"/>
      <c r="I9" s="1"/>
      <c r="J9" s="1"/>
      <c r="K9" s="1"/>
      <c r="L9" s="10" t="s">
        <v>129</v>
      </c>
      <c r="M9" s="18" t="s">
        <v>22</v>
      </c>
    </row>
    <row r="10" spans="1:16" ht="24.95" customHeight="1" x14ac:dyDescent="0.2">
      <c r="A10" s="22"/>
      <c r="B10" s="22"/>
      <c r="C10" s="22"/>
      <c r="D10" s="22"/>
      <c r="E10" s="22"/>
      <c r="F10" s="23"/>
      <c r="G10" s="1"/>
      <c r="H10" s="1"/>
      <c r="I10" s="1"/>
      <c r="J10" s="1"/>
      <c r="K10" s="1"/>
      <c r="L10" s="10" t="s">
        <v>128</v>
      </c>
    </row>
    <row r="11" spans="1:16" ht="24.95" customHeight="1" x14ac:dyDescent="0.2">
      <c r="A11" s="20"/>
      <c r="B11" s="20"/>
      <c r="C11" s="20"/>
      <c r="D11" s="20"/>
      <c r="E11" s="20"/>
      <c r="F11" s="21"/>
      <c r="G11" s="1"/>
      <c r="H11" s="1"/>
      <c r="I11" s="1"/>
      <c r="J11" s="1"/>
      <c r="K11" s="1"/>
      <c r="L11" s="10" t="s">
        <v>131</v>
      </c>
    </row>
    <row r="12" spans="1:16" ht="24.95" customHeight="1" x14ac:dyDescent="0.2">
      <c r="A12" s="9"/>
      <c r="B12" s="9"/>
      <c r="C12" s="9"/>
      <c r="D12" s="9"/>
      <c r="E12" s="9"/>
      <c r="F12" s="9"/>
      <c r="L12" s="1" t="s">
        <v>130</v>
      </c>
    </row>
    <row r="13" spans="1:16" ht="24.95" customHeight="1" x14ac:dyDescent="0.2">
      <c r="A13" s="9"/>
      <c r="B13" s="9"/>
      <c r="C13" s="9"/>
      <c r="D13" s="9"/>
      <c r="E13" s="9"/>
      <c r="F13" s="9"/>
      <c r="L13" s="1" t="s">
        <v>121</v>
      </c>
    </row>
    <row r="14" spans="1:16" ht="24.95" customHeight="1" x14ac:dyDescent="0.2">
      <c r="A14" s="9"/>
      <c r="B14" s="9"/>
      <c r="C14" s="9"/>
      <c r="D14" s="9"/>
      <c r="E14" s="9"/>
      <c r="F14" s="9"/>
      <c r="L14" s="1" t="s">
        <v>117</v>
      </c>
    </row>
    <row r="15" spans="1:16" ht="24.95" customHeight="1" x14ac:dyDescent="0.2">
      <c r="A15" s="9"/>
      <c r="B15" s="9"/>
      <c r="C15" s="9"/>
      <c r="D15" s="9"/>
      <c r="E15" s="9"/>
      <c r="F15" s="9"/>
    </row>
    <row r="16" spans="1:16" ht="24.95" customHeight="1" x14ac:dyDescent="0.2">
      <c r="A16" s="9"/>
      <c r="B16" s="9"/>
      <c r="C16" s="9"/>
      <c r="D16" s="9"/>
      <c r="E16" s="9"/>
      <c r="F16" s="9"/>
    </row>
    <row r="17" spans="1:6" ht="24.95" customHeight="1" x14ac:dyDescent="0.2">
      <c r="A17" s="9"/>
      <c r="B17" s="9"/>
      <c r="C17" s="9"/>
      <c r="D17" s="9"/>
      <c r="E17" s="9"/>
      <c r="F17" s="9"/>
    </row>
    <row r="18" spans="1:6" ht="24.95" customHeight="1" x14ac:dyDescent="0.2">
      <c r="A18" s="9"/>
      <c r="B18" s="9"/>
      <c r="C18" s="9"/>
      <c r="D18" s="9"/>
      <c r="E18" s="9"/>
      <c r="F18" s="9"/>
    </row>
    <row r="19" spans="1:6" ht="24.95" customHeight="1" x14ac:dyDescent="0.2">
      <c r="A19" s="9"/>
      <c r="B19" s="9"/>
      <c r="C19" s="9"/>
      <c r="D19" s="9"/>
      <c r="E19" s="9"/>
      <c r="F19" s="9"/>
    </row>
    <row r="20" spans="1:6" ht="24.95" customHeight="1" x14ac:dyDescent="0.2">
      <c r="A20" s="9"/>
      <c r="B20" s="9"/>
      <c r="C20" s="9"/>
      <c r="D20" s="9"/>
      <c r="E20" s="9"/>
      <c r="F20" s="9"/>
    </row>
    <row r="21" spans="1:6" ht="24.95" customHeight="1" x14ac:dyDescent="0.2">
      <c r="A21" s="9"/>
      <c r="B21" s="9"/>
      <c r="C21" s="9"/>
      <c r="D21" s="9"/>
      <c r="E21" s="9"/>
      <c r="F21" s="9"/>
    </row>
    <row r="22" spans="1:6" ht="24.95" customHeight="1" x14ac:dyDescent="0.2">
      <c r="A22" s="9"/>
      <c r="B22" s="9"/>
      <c r="C22" s="9"/>
      <c r="D22" s="9"/>
      <c r="E22" s="9"/>
      <c r="F22" s="9"/>
    </row>
    <row r="23" spans="1:6" ht="24.95" customHeight="1" x14ac:dyDescent="0.2">
      <c r="A23" s="9"/>
      <c r="B23" s="9"/>
      <c r="C23" s="9"/>
      <c r="D23" s="9"/>
      <c r="E23" s="9"/>
      <c r="F23" s="9"/>
    </row>
    <row r="24" spans="1:6" ht="24.95" customHeight="1" x14ac:dyDescent="0.2">
      <c r="A24" s="9"/>
      <c r="B24" s="9"/>
      <c r="C24" s="9"/>
      <c r="D24" s="9"/>
      <c r="E24" s="9"/>
      <c r="F24" s="9"/>
    </row>
    <row r="25" spans="1:6" ht="24.95" customHeight="1" x14ac:dyDescent="0.2">
      <c r="A25" s="9"/>
      <c r="B25" s="9"/>
      <c r="C25" s="9"/>
      <c r="D25" s="9"/>
      <c r="E25" s="9"/>
      <c r="F25" s="9"/>
    </row>
    <row r="26" spans="1:6" ht="24.95" customHeight="1" x14ac:dyDescent="0.2">
      <c r="A26" s="9"/>
      <c r="B26" s="9"/>
      <c r="C26" s="9"/>
      <c r="D26" s="9"/>
      <c r="E26" s="9"/>
      <c r="F26" s="9"/>
    </row>
    <row r="27" spans="1:6" ht="24.95" customHeight="1" x14ac:dyDescent="0.2">
      <c r="A27" s="9"/>
      <c r="B27" s="9"/>
      <c r="C27" s="9"/>
      <c r="D27" s="9"/>
      <c r="E27" s="9"/>
      <c r="F27" s="9"/>
    </row>
    <row r="28" spans="1:6" ht="24.95" customHeight="1" x14ac:dyDescent="0.2">
      <c r="A28" s="9"/>
      <c r="B28" s="9"/>
      <c r="C28" s="9"/>
      <c r="D28" s="9"/>
      <c r="E28" s="9"/>
      <c r="F28" s="9"/>
    </row>
    <row r="29" spans="1:6" ht="24.95" customHeight="1" x14ac:dyDescent="0.2">
      <c r="A29" s="9"/>
      <c r="B29" s="9"/>
      <c r="C29" s="9"/>
      <c r="D29" s="9"/>
      <c r="E29" s="9"/>
      <c r="F29" s="9"/>
    </row>
    <row r="30" spans="1:6" ht="24.95" customHeight="1" x14ac:dyDescent="0.2">
      <c r="A30" s="9"/>
      <c r="B30" s="9"/>
      <c r="C30" s="9"/>
      <c r="D30" s="9"/>
      <c r="E30" s="9"/>
      <c r="F30" s="9"/>
    </row>
    <row r="31" spans="1:6" ht="24.95" customHeight="1" x14ac:dyDescent="0.2">
      <c r="A31" s="9"/>
      <c r="B31" s="9"/>
      <c r="C31" s="9"/>
      <c r="D31" s="9"/>
      <c r="E31" s="9"/>
      <c r="F31" s="9"/>
    </row>
    <row r="32" spans="1:6" ht="24.95" customHeight="1" x14ac:dyDescent="0.2">
      <c r="A32" s="9"/>
      <c r="B32" s="9"/>
      <c r="C32" s="9"/>
      <c r="D32" s="9"/>
      <c r="E32" s="9"/>
      <c r="F32" s="9"/>
    </row>
    <row r="33" spans="1:6" ht="24.95" customHeight="1" x14ac:dyDescent="0.2">
      <c r="A33" s="9"/>
      <c r="B33" s="9"/>
      <c r="C33" s="9"/>
      <c r="D33" s="9"/>
      <c r="E33" s="9"/>
      <c r="F33" s="9"/>
    </row>
    <row r="34" spans="1:6" ht="24.95" customHeight="1" x14ac:dyDescent="0.2">
      <c r="A34" s="1"/>
      <c r="B34" s="1"/>
      <c r="C34" s="1"/>
      <c r="D34" s="1"/>
      <c r="E34" s="2"/>
    </row>
    <row r="35" spans="1:6" ht="24.95" customHeight="1" x14ac:dyDescent="0.2">
      <c r="A35" s="1"/>
      <c r="B35" s="1"/>
      <c r="C35" s="1"/>
      <c r="D35" s="1"/>
      <c r="E35" s="2"/>
    </row>
  </sheetData>
  <autoFilter ref="A6:F6" xr:uid="{00000000-0001-0000-0000-000000000000}">
    <sortState xmlns:xlrd2="http://schemas.microsoft.com/office/spreadsheetml/2017/richdata2" ref="A7:F13">
      <sortCondition ref="D6"/>
    </sortState>
  </autoFilter>
  <hyperlinks>
    <hyperlink ref="L2" r:id="rId1" xr:uid="{E1246023-33B4-4743-A8C7-1AB11FEAEE5F}"/>
    <hyperlink ref="L8" r:id="rId2" xr:uid="{2BC810F8-18EE-434D-B141-2E51F38334F4}"/>
    <hyperlink ref="L9" r:id="rId3" xr:uid="{533353A3-43DF-4FEF-8D5D-32EE90789872}"/>
    <hyperlink ref="M9" r:id="rId4" xr:uid="{5D9A9D36-552D-4560-BF88-4A3BE1ACE9B3}"/>
    <hyperlink ref="L10" r:id="rId5" xr:uid="{A1B0E9F9-C4CF-4E26-B0BD-51C949C5237A}"/>
    <hyperlink ref="L11" r:id="rId6" xr:uid="{34390BA9-31EF-4D26-BA6B-25E51712D4D8}"/>
    <hyperlink ref="L3" r:id="rId7" xr:uid="{9701253E-8D31-4329-B208-CFD29CE65D48}"/>
  </hyperlinks>
  <pageMargins left="0.7" right="0.7" top="0.75" bottom="0.75" header="0.3" footer="0.3"/>
  <pageSetup paperSize="9" orientation="portrait" horizontalDpi="1200" verticalDpi="1200" r:id="rId8"/>
  <drawing r:id="rId9"/>
  <legacyDrawing r:id="rId10"/>
  <controls>
    <mc:AlternateContent xmlns:mc="http://schemas.openxmlformats.org/markup-compatibility/2006">
      <mc:Choice Requires="x14">
        <control shapeId="1030" r:id="rId11" name="CORREO_NUEVO">
          <controlPr defaultSize="0" autoLine="0" r:id="rId12">
            <anchor moveWithCells="1">
              <from>
                <xdr:col>10</xdr:col>
                <xdr:colOff>0</xdr:colOff>
                <xdr:row>4</xdr:row>
                <xdr:rowOff>95250</xdr:rowOff>
              </from>
              <to>
                <xdr:col>11</xdr:col>
                <xdr:colOff>2371725</xdr:colOff>
                <xdr:row>5</xdr:row>
                <xdr:rowOff>276225</xdr:rowOff>
              </to>
            </anchor>
          </controlPr>
        </control>
      </mc:Choice>
      <mc:Fallback>
        <control shapeId="1030" r:id="rId11" name="CORREO_NUEVO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DA5793-3B8F-4CCF-AA47-9CE76055BF74}">
  <sheetPr codeName="Hoja2"/>
  <dimension ref="A1:K45"/>
  <sheetViews>
    <sheetView topLeftCell="A20" workbookViewId="0">
      <selection activeCell="A45" sqref="A45:E45"/>
    </sheetView>
  </sheetViews>
  <sheetFormatPr baseColWidth="10" defaultRowHeight="15" x14ac:dyDescent="0.25"/>
  <cols>
    <col min="1" max="1" width="17" style="5" bestFit="1" customWidth="1"/>
    <col min="2" max="4" width="11.42578125" style="5"/>
    <col min="5" max="5" width="23.42578125" style="5" bestFit="1" customWidth="1"/>
  </cols>
  <sheetData>
    <row r="1" spans="1:11" x14ac:dyDescent="0.25">
      <c r="A1" s="4" t="s">
        <v>2</v>
      </c>
      <c r="B1" s="4" t="s">
        <v>3</v>
      </c>
      <c r="C1" s="4" t="s">
        <v>0</v>
      </c>
      <c r="D1" s="4" t="s">
        <v>1</v>
      </c>
      <c r="E1" s="4" t="s">
        <v>6</v>
      </c>
      <c r="F1" s="4" t="s">
        <v>36</v>
      </c>
      <c r="J1" t="s">
        <v>23</v>
      </c>
      <c r="K1" t="s">
        <v>0</v>
      </c>
    </row>
    <row r="2" spans="1:11" x14ac:dyDescent="0.25">
      <c r="A2" s="5" t="s">
        <v>37</v>
      </c>
      <c r="B2" s="5" t="s">
        <v>38</v>
      </c>
      <c r="C2" s="5" t="s">
        <v>25</v>
      </c>
      <c r="D2" s="5" t="s">
        <v>21</v>
      </c>
      <c r="E2" s="5" t="s">
        <v>39</v>
      </c>
      <c r="F2" s="6">
        <v>44998</v>
      </c>
      <c r="J2">
        <v>10120</v>
      </c>
      <c r="K2" t="s">
        <v>26</v>
      </c>
    </row>
    <row r="3" spans="1:11" x14ac:dyDescent="0.25">
      <c r="A3" s="5" t="s">
        <v>37</v>
      </c>
      <c r="B3" s="5" t="s">
        <v>41</v>
      </c>
      <c r="C3" s="5" t="s">
        <v>25</v>
      </c>
      <c r="D3" s="5" t="s">
        <v>21</v>
      </c>
      <c r="E3" s="5" t="s">
        <v>40</v>
      </c>
      <c r="F3" s="6">
        <v>44998</v>
      </c>
      <c r="J3">
        <v>10160</v>
      </c>
      <c r="K3" t="s">
        <v>20</v>
      </c>
    </row>
    <row r="4" spans="1:11" x14ac:dyDescent="0.25">
      <c r="A4" s="5" t="s">
        <v>44</v>
      </c>
      <c r="B4" s="5" t="s">
        <v>43</v>
      </c>
      <c r="C4" s="5" t="s">
        <v>20</v>
      </c>
      <c r="D4" s="5" t="s">
        <v>21</v>
      </c>
      <c r="E4" s="5" t="s">
        <v>42</v>
      </c>
      <c r="F4" s="6">
        <v>44998</v>
      </c>
      <c r="J4">
        <v>10230</v>
      </c>
      <c r="K4" t="s">
        <v>25</v>
      </c>
    </row>
    <row r="5" spans="1:11" x14ac:dyDescent="0.25">
      <c r="A5" s="5" t="s">
        <v>44</v>
      </c>
      <c r="B5" s="5" t="s">
        <v>45</v>
      </c>
      <c r="C5" s="5" t="s">
        <v>20</v>
      </c>
      <c r="D5" s="5" t="s">
        <v>21</v>
      </c>
      <c r="E5" s="5" t="s">
        <v>46</v>
      </c>
      <c r="F5" s="6">
        <v>44998</v>
      </c>
      <c r="J5">
        <v>10330</v>
      </c>
      <c r="K5" t="s">
        <v>24</v>
      </c>
    </row>
    <row r="6" spans="1:11" x14ac:dyDescent="0.25">
      <c r="A6" s="5" t="s">
        <v>47</v>
      </c>
      <c r="B6" s="5" t="s">
        <v>38</v>
      </c>
      <c r="C6" s="5" t="s">
        <v>48</v>
      </c>
      <c r="D6" s="5" t="s">
        <v>49</v>
      </c>
      <c r="E6" s="5" t="s">
        <v>50</v>
      </c>
      <c r="F6" s="6">
        <v>44998</v>
      </c>
      <c r="J6">
        <v>10370</v>
      </c>
      <c r="K6" t="s">
        <v>31</v>
      </c>
    </row>
    <row r="7" spans="1:11" x14ac:dyDescent="0.25">
      <c r="A7" s="5" t="s">
        <v>51</v>
      </c>
      <c r="B7" s="5" t="s">
        <v>38</v>
      </c>
      <c r="C7" s="5" t="s">
        <v>35</v>
      </c>
      <c r="D7" s="5" t="s">
        <v>49</v>
      </c>
      <c r="E7" s="5" t="s">
        <v>50</v>
      </c>
      <c r="F7" s="6">
        <v>44998</v>
      </c>
      <c r="J7">
        <v>10380</v>
      </c>
      <c r="K7" t="s">
        <v>27</v>
      </c>
    </row>
    <row r="8" spans="1:11" x14ac:dyDescent="0.25">
      <c r="A8" s="5" t="s">
        <v>53</v>
      </c>
      <c r="B8" s="5" t="s">
        <v>38</v>
      </c>
      <c r="C8" s="5" t="s">
        <v>32</v>
      </c>
      <c r="D8" s="5" t="s">
        <v>49</v>
      </c>
      <c r="E8" s="5" t="s">
        <v>52</v>
      </c>
      <c r="F8" s="6">
        <v>44999</v>
      </c>
      <c r="J8">
        <v>10400</v>
      </c>
      <c r="K8" t="s">
        <v>28</v>
      </c>
    </row>
    <row r="9" spans="1:11" x14ac:dyDescent="0.25">
      <c r="A9" s="5" t="s">
        <v>58</v>
      </c>
      <c r="B9" s="5" t="s">
        <v>38</v>
      </c>
      <c r="C9" s="5" t="s">
        <v>33</v>
      </c>
      <c r="D9" s="5" t="s">
        <v>49</v>
      </c>
      <c r="E9" s="5" t="s">
        <v>59</v>
      </c>
      <c r="F9" s="6">
        <v>44999</v>
      </c>
      <c r="J9">
        <v>10428</v>
      </c>
      <c r="K9" t="s">
        <v>29</v>
      </c>
    </row>
    <row r="10" spans="1:11" x14ac:dyDescent="0.25">
      <c r="A10" s="5" t="s">
        <v>58</v>
      </c>
      <c r="B10" s="5" t="s">
        <v>38</v>
      </c>
      <c r="C10" s="5" t="s">
        <v>33</v>
      </c>
      <c r="D10" s="5" t="s">
        <v>49</v>
      </c>
      <c r="E10" s="5" t="s">
        <v>60</v>
      </c>
      <c r="F10" s="6">
        <v>45009</v>
      </c>
      <c r="J10">
        <v>10430</v>
      </c>
      <c r="K10" t="s">
        <v>30</v>
      </c>
    </row>
    <row r="11" spans="1:11" x14ac:dyDescent="0.25">
      <c r="A11" s="5" t="s">
        <v>62</v>
      </c>
      <c r="B11" s="5" t="s">
        <v>38</v>
      </c>
      <c r="C11" s="5" t="s">
        <v>63</v>
      </c>
      <c r="D11" s="5" t="s">
        <v>61</v>
      </c>
      <c r="E11" s="5" t="s">
        <v>64</v>
      </c>
      <c r="F11" s="6">
        <v>45028</v>
      </c>
      <c r="J11">
        <v>70215</v>
      </c>
      <c r="K11" t="s">
        <v>32</v>
      </c>
    </row>
    <row r="12" spans="1:11" x14ac:dyDescent="0.25">
      <c r="A12" s="5" t="s">
        <v>65</v>
      </c>
      <c r="B12" s="5" t="s">
        <v>38</v>
      </c>
      <c r="C12" s="5" t="s">
        <v>20</v>
      </c>
      <c r="D12" s="5" t="s">
        <v>21</v>
      </c>
      <c r="E12" s="5" t="s">
        <v>66</v>
      </c>
      <c r="F12" s="6">
        <v>45033</v>
      </c>
      <c r="J12">
        <v>70225</v>
      </c>
      <c r="K12" t="s">
        <v>33</v>
      </c>
    </row>
    <row r="13" spans="1:11" x14ac:dyDescent="0.25">
      <c r="A13" s="5" t="s">
        <v>67</v>
      </c>
      <c r="B13" s="5" t="s">
        <v>38</v>
      </c>
      <c r="C13" s="5" t="s">
        <v>68</v>
      </c>
      <c r="D13" s="5" t="s">
        <v>69</v>
      </c>
      <c r="E13" s="5" t="s">
        <v>70</v>
      </c>
      <c r="F13" s="6">
        <v>45033</v>
      </c>
      <c r="J13">
        <v>70230</v>
      </c>
      <c r="K13" t="s">
        <v>34</v>
      </c>
    </row>
    <row r="14" spans="1:11" x14ac:dyDescent="0.25">
      <c r="A14" s="5" t="s">
        <v>58</v>
      </c>
      <c r="B14" s="5" t="s">
        <v>38</v>
      </c>
      <c r="C14" s="5" t="s">
        <v>71</v>
      </c>
      <c r="D14" s="5" t="s">
        <v>49</v>
      </c>
      <c r="E14" s="5" t="s">
        <v>72</v>
      </c>
      <c r="F14" s="6">
        <v>45034</v>
      </c>
      <c r="J14">
        <v>70240</v>
      </c>
      <c r="K14" t="s">
        <v>35</v>
      </c>
    </row>
    <row r="15" spans="1:11" x14ac:dyDescent="0.25">
      <c r="A15" s="5" t="s">
        <v>67</v>
      </c>
      <c r="B15" s="5" t="s">
        <v>38</v>
      </c>
      <c r="C15" s="5" t="s">
        <v>68</v>
      </c>
      <c r="D15" s="5" t="s">
        <v>69</v>
      </c>
      <c r="E15" s="5" t="s">
        <v>73</v>
      </c>
      <c r="F15" s="6">
        <v>45035</v>
      </c>
    </row>
    <row r="16" spans="1:11" x14ac:dyDescent="0.25">
      <c r="A16" s="5" t="s">
        <v>74</v>
      </c>
      <c r="B16" s="5" t="s">
        <v>38</v>
      </c>
      <c r="C16" s="5" t="s">
        <v>75</v>
      </c>
      <c r="D16" s="5" t="s">
        <v>61</v>
      </c>
      <c r="E16" s="5" t="s">
        <v>76</v>
      </c>
      <c r="F16" s="6">
        <v>45036</v>
      </c>
    </row>
    <row r="17" spans="1:6" x14ac:dyDescent="0.25">
      <c r="A17" s="5" t="s">
        <v>77</v>
      </c>
      <c r="B17" s="5" t="s">
        <v>78</v>
      </c>
      <c r="C17" s="5" t="s">
        <v>79</v>
      </c>
      <c r="D17" s="5" t="s">
        <v>69</v>
      </c>
      <c r="E17" s="5" t="s">
        <v>80</v>
      </c>
      <c r="F17" s="6">
        <v>45040</v>
      </c>
    </row>
    <row r="18" spans="1:6" x14ac:dyDescent="0.25">
      <c r="A18" s="5" t="s">
        <v>81</v>
      </c>
      <c r="B18" s="5" t="s">
        <v>38</v>
      </c>
      <c r="C18" s="5" t="s">
        <v>20</v>
      </c>
      <c r="D18" s="5" t="s">
        <v>69</v>
      </c>
      <c r="E18" s="5" t="s">
        <v>82</v>
      </c>
      <c r="F18" s="6">
        <v>45040</v>
      </c>
    </row>
    <row r="19" spans="1:6" x14ac:dyDescent="0.25">
      <c r="A19" s="5" t="s">
        <v>62</v>
      </c>
      <c r="B19" s="5" t="s">
        <v>38</v>
      </c>
      <c r="C19" s="5" t="s">
        <v>83</v>
      </c>
      <c r="D19" s="5" t="s">
        <v>61</v>
      </c>
      <c r="E19" s="5" t="s">
        <v>84</v>
      </c>
      <c r="F19" s="6">
        <v>45063</v>
      </c>
    </row>
    <row r="20" spans="1:6" x14ac:dyDescent="0.25">
      <c r="A20" s="5" t="s">
        <v>85</v>
      </c>
      <c r="B20" s="5" t="s">
        <v>38</v>
      </c>
      <c r="C20" s="5" t="s">
        <v>86</v>
      </c>
      <c r="D20" s="5" t="s">
        <v>21</v>
      </c>
      <c r="E20" s="5" t="s">
        <v>87</v>
      </c>
      <c r="F20" s="6">
        <v>45065</v>
      </c>
    </row>
    <row r="21" spans="1:6" x14ac:dyDescent="0.25">
      <c r="A21" s="5" t="s">
        <v>88</v>
      </c>
      <c r="B21" s="5" t="s">
        <v>38</v>
      </c>
      <c r="C21" s="5" t="s">
        <v>28</v>
      </c>
      <c r="D21" s="5" t="s">
        <v>89</v>
      </c>
      <c r="E21" s="5" t="s">
        <v>90</v>
      </c>
      <c r="F21" s="6">
        <v>45065</v>
      </c>
    </row>
    <row r="22" spans="1:6" x14ac:dyDescent="0.25">
      <c r="A22" s="5" t="s">
        <v>92</v>
      </c>
      <c r="B22" s="5" t="s">
        <v>38</v>
      </c>
      <c r="C22" s="5" t="s">
        <v>27</v>
      </c>
      <c r="D22" s="5" t="s">
        <v>69</v>
      </c>
      <c r="E22" s="5" t="s">
        <v>91</v>
      </c>
      <c r="F22" s="6">
        <v>45065</v>
      </c>
    </row>
    <row r="23" spans="1:6" x14ac:dyDescent="0.25">
      <c r="A23" s="5" t="s">
        <v>92</v>
      </c>
      <c r="B23" s="5" t="s">
        <v>38</v>
      </c>
      <c r="C23" s="5" t="s">
        <v>27</v>
      </c>
      <c r="D23" s="5" t="s">
        <v>69</v>
      </c>
      <c r="E23" s="5" t="s">
        <v>93</v>
      </c>
      <c r="F23" s="6">
        <v>45068</v>
      </c>
    </row>
    <row r="24" spans="1:6" x14ac:dyDescent="0.25">
      <c r="A24" s="5" t="s">
        <v>67</v>
      </c>
      <c r="B24" s="5" t="s">
        <v>38</v>
      </c>
      <c r="C24" s="5" t="s">
        <v>63</v>
      </c>
      <c r="D24" s="5" t="s">
        <v>69</v>
      </c>
      <c r="E24" s="5" t="s">
        <v>94</v>
      </c>
      <c r="F24" s="6">
        <v>45085</v>
      </c>
    </row>
    <row r="25" spans="1:6" x14ac:dyDescent="0.25">
      <c r="A25" s="5" t="s">
        <v>95</v>
      </c>
      <c r="B25" s="5" t="s">
        <v>38</v>
      </c>
      <c r="C25" s="5" t="s">
        <v>63</v>
      </c>
      <c r="D25" s="5" t="s">
        <v>49</v>
      </c>
      <c r="E25" s="5" t="s">
        <v>96</v>
      </c>
      <c r="F25" s="6">
        <v>45112</v>
      </c>
    </row>
    <row r="26" spans="1:6" x14ac:dyDescent="0.25">
      <c r="A26" s="5" t="s">
        <v>97</v>
      </c>
      <c r="B26" s="5" t="s">
        <v>38</v>
      </c>
      <c r="C26" s="5" t="s">
        <v>98</v>
      </c>
      <c r="D26" s="5" t="s">
        <v>99</v>
      </c>
      <c r="E26" s="5" t="s">
        <v>100</v>
      </c>
      <c r="F26" s="6">
        <v>45128</v>
      </c>
    </row>
    <row r="27" spans="1:6" x14ac:dyDescent="0.25">
      <c r="A27" s="5" t="s">
        <v>101</v>
      </c>
      <c r="B27" s="5" t="s">
        <v>38</v>
      </c>
      <c r="C27" s="5" t="s">
        <v>25</v>
      </c>
      <c r="D27" s="5" t="s">
        <v>21</v>
      </c>
      <c r="E27" s="5" t="s">
        <v>102</v>
      </c>
      <c r="F27" s="6">
        <v>45131</v>
      </c>
    </row>
    <row r="28" spans="1:6" x14ac:dyDescent="0.25">
      <c r="A28" s="5" t="s">
        <v>85</v>
      </c>
      <c r="B28" s="5" t="s">
        <v>38</v>
      </c>
      <c r="C28" s="5" t="s">
        <v>86</v>
      </c>
      <c r="D28" s="5" t="s">
        <v>103</v>
      </c>
      <c r="E28" s="5">
        <v>8005710911</v>
      </c>
      <c r="F28" s="6">
        <v>45133</v>
      </c>
    </row>
    <row r="29" spans="1:6" x14ac:dyDescent="0.25">
      <c r="A29" s="5" t="s">
        <v>85</v>
      </c>
      <c r="B29" s="5" t="s">
        <v>38</v>
      </c>
      <c r="C29" s="5" t="s">
        <v>86</v>
      </c>
      <c r="D29" s="5" t="s">
        <v>103</v>
      </c>
      <c r="E29" s="5" t="s">
        <v>104</v>
      </c>
      <c r="F29" s="6">
        <v>45134</v>
      </c>
    </row>
    <row r="30" spans="1:6" x14ac:dyDescent="0.25">
      <c r="A30" s="5" t="s">
        <v>106</v>
      </c>
      <c r="B30" s="5" t="s">
        <v>38</v>
      </c>
      <c r="C30" s="5" t="s">
        <v>107</v>
      </c>
      <c r="D30" s="5" t="s">
        <v>49</v>
      </c>
      <c r="E30" s="5" t="s">
        <v>105</v>
      </c>
      <c r="F30" s="6">
        <v>45134</v>
      </c>
    </row>
    <row r="31" spans="1:6" x14ac:dyDescent="0.25">
      <c r="A31" s="5" t="s">
        <v>108</v>
      </c>
      <c r="B31" s="5" t="s">
        <v>38</v>
      </c>
      <c r="C31" s="5" t="s">
        <v>109</v>
      </c>
      <c r="D31" s="5" t="s">
        <v>61</v>
      </c>
      <c r="E31" s="5" t="s">
        <v>110</v>
      </c>
      <c r="F31" s="6">
        <v>45245</v>
      </c>
    </row>
    <row r="32" spans="1:6" x14ac:dyDescent="0.25">
      <c r="A32" s="5" t="s">
        <v>111</v>
      </c>
      <c r="B32" s="5" t="s">
        <v>112</v>
      </c>
      <c r="C32" s="5" t="s">
        <v>25</v>
      </c>
      <c r="D32" s="5" t="s">
        <v>49</v>
      </c>
      <c r="E32" s="5" t="s">
        <v>113</v>
      </c>
      <c r="F32" s="6">
        <v>45260</v>
      </c>
    </row>
    <row r="33" spans="1:6" x14ac:dyDescent="0.25">
      <c r="A33" s="5" t="s">
        <v>111</v>
      </c>
      <c r="B33" s="5" t="s">
        <v>112</v>
      </c>
      <c r="C33" s="5" t="s">
        <v>25</v>
      </c>
      <c r="D33" s="5" t="s">
        <v>49</v>
      </c>
      <c r="E33" s="5" t="s">
        <v>113</v>
      </c>
      <c r="F33" s="6">
        <v>45260</v>
      </c>
    </row>
    <row r="34" spans="1:6" x14ac:dyDescent="0.25">
      <c r="A34" s="5" t="s">
        <v>106</v>
      </c>
      <c r="B34" s="5" t="s">
        <v>38</v>
      </c>
      <c r="C34" s="5" t="s">
        <v>31</v>
      </c>
      <c r="D34" s="5" t="s">
        <v>49</v>
      </c>
      <c r="E34" s="5" t="s">
        <v>114</v>
      </c>
      <c r="F34" s="6">
        <v>45264</v>
      </c>
    </row>
    <row r="35" spans="1:6" x14ac:dyDescent="0.25">
      <c r="A35" s="5" t="s">
        <v>106</v>
      </c>
      <c r="B35" s="5" t="s">
        <v>38</v>
      </c>
      <c r="C35" s="5" t="s">
        <v>31</v>
      </c>
      <c r="D35" s="5" t="s">
        <v>49</v>
      </c>
      <c r="E35" s="5" t="s">
        <v>115</v>
      </c>
      <c r="F35" s="6">
        <v>45271</v>
      </c>
    </row>
    <row r="36" spans="1:6" x14ac:dyDescent="0.25">
      <c r="A36" s="5" t="s">
        <v>106</v>
      </c>
      <c r="B36" s="5" t="s">
        <v>38</v>
      </c>
      <c r="C36" s="5" t="s">
        <v>31</v>
      </c>
      <c r="D36" s="5" t="s">
        <v>49</v>
      </c>
      <c r="E36" s="5" t="s">
        <v>116</v>
      </c>
      <c r="F36" s="6">
        <v>45294</v>
      </c>
    </row>
    <row r="37" spans="1:6" x14ac:dyDescent="0.25">
      <c r="A37" s="5" t="s">
        <v>111</v>
      </c>
      <c r="B37" s="5" t="s">
        <v>118</v>
      </c>
      <c r="C37" s="5" t="s">
        <v>119</v>
      </c>
      <c r="D37" s="5" t="s">
        <v>49</v>
      </c>
      <c r="E37" s="5" t="s">
        <v>120</v>
      </c>
      <c r="F37" s="6">
        <v>45299</v>
      </c>
    </row>
    <row r="38" spans="1:6" x14ac:dyDescent="0.25">
      <c r="A38" s="5" t="s">
        <v>122</v>
      </c>
      <c r="B38" s="5" t="s">
        <v>38</v>
      </c>
      <c r="C38" s="5" t="s">
        <v>123</v>
      </c>
      <c r="D38" s="5" t="s">
        <v>49</v>
      </c>
      <c r="E38" s="5" t="s">
        <v>124</v>
      </c>
      <c r="F38" s="6">
        <v>45777</v>
      </c>
    </row>
    <row r="39" spans="1:6" x14ac:dyDescent="0.25">
      <c r="A39" s="5" t="s">
        <v>132</v>
      </c>
      <c r="B39" s="5" t="s">
        <v>38</v>
      </c>
      <c r="C39" s="5" t="s">
        <v>133</v>
      </c>
      <c r="D39" s="5" t="s">
        <v>61</v>
      </c>
      <c r="E39" s="5" t="s">
        <v>134</v>
      </c>
      <c r="F39" s="6">
        <v>45783</v>
      </c>
    </row>
    <row r="40" spans="1:6" x14ac:dyDescent="0.25">
      <c r="A40" s="5" t="s">
        <v>132</v>
      </c>
      <c r="B40" s="5" t="s">
        <v>38</v>
      </c>
      <c r="C40" s="5" t="s">
        <v>133</v>
      </c>
      <c r="D40" s="5" t="s">
        <v>61</v>
      </c>
      <c r="E40" s="5" t="s">
        <v>135</v>
      </c>
      <c r="F40" s="6">
        <v>45783</v>
      </c>
    </row>
    <row r="41" spans="1:6" x14ac:dyDescent="0.25">
      <c r="A41" s="5" t="s">
        <v>132</v>
      </c>
      <c r="B41" s="5" t="s">
        <v>38</v>
      </c>
      <c r="C41" s="5" t="s">
        <v>133</v>
      </c>
      <c r="D41" s="5" t="s">
        <v>61</v>
      </c>
      <c r="E41" s="5" t="s">
        <v>135</v>
      </c>
      <c r="F41" s="6">
        <v>45783</v>
      </c>
    </row>
    <row r="42" spans="1:6" x14ac:dyDescent="0.25">
      <c r="A42" s="5" t="s">
        <v>136</v>
      </c>
      <c r="B42" s="5" t="s">
        <v>38</v>
      </c>
      <c r="C42" s="5" t="s">
        <v>137</v>
      </c>
      <c r="D42" s="5" t="s">
        <v>49</v>
      </c>
      <c r="E42" s="5" t="s">
        <v>138</v>
      </c>
      <c r="F42" s="6">
        <v>45791</v>
      </c>
    </row>
    <row r="43" spans="1:6" x14ac:dyDescent="0.25">
      <c r="A43" s="5" t="s">
        <v>139</v>
      </c>
      <c r="B43" s="5" t="s">
        <v>38</v>
      </c>
      <c r="C43" s="5" t="s">
        <v>140</v>
      </c>
      <c r="D43" s="5" t="s">
        <v>61</v>
      </c>
      <c r="E43" s="5" t="s">
        <v>141</v>
      </c>
      <c r="F43" s="6">
        <v>45796</v>
      </c>
    </row>
    <row r="44" spans="1:6" x14ac:dyDescent="0.25">
      <c r="A44" s="5" t="s">
        <v>142</v>
      </c>
      <c r="B44" s="5" t="s">
        <v>38</v>
      </c>
      <c r="C44" s="5" t="s">
        <v>143</v>
      </c>
      <c r="D44" s="5" t="s">
        <v>21</v>
      </c>
      <c r="E44" s="5" t="s">
        <v>144</v>
      </c>
      <c r="F44" s="6">
        <v>45796</v>
      </c>
    </row>
    <row r="45" spans="1:6" x14ac:dyDescent="0.25">
      <c r="A45" s="5" t="s">
        <v>136</v>
      </c>
      <c r="B45" s="5" t="s">
        <v>38</v>
      </c>
      <c r="C45" s="5" t="s">
        <v>137</v>
      </c>
      <c r="D45" s="5" t="s">
        <v>49</v>
      </c>
      <c r="E45" s="5" t="s">
        <v>150</v>
      </c>
      <c r="F45" s="6">
        <v>45797</v>
      </c>
    </row>
  </sheetData>
  <autoFilter ref="A1:F1" xr:uid="{72DA5793-3B8F-4CCF-AA47-9CE76055BF74}"/>
  <conditionalFormatting sqref="E1:E1048576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Plantilla reporte</vt:lpstr>
      <vt:lpstr>TRANSMISIONES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Ernesto Carrillo</dc:creator>
  <cp:lastModifiedBy>Jose Paredes</cp:lastModifiedBy>
  <dcterms:created xsi:type="dcterms:W3CDTF">2015-06-05T18:19:34Z</dcterms:created>
  <dcterms:modified xsi:type="dcterms:W3CDTF">2025-05-20T11:30:30Z</dcterms:modified>
</cp:coreProperties>
</file>