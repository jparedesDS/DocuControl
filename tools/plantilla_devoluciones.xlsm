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1CD25D1F-3181-4677-A65C-20753CEC62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<sst xmlns="http://schemas.openxmlformats.org/spreadsheetml/2006/main" count="352" uniqueCount="176">
  <si>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</si>
  <si>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</si>
  <si>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</si>
  <si>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</si>
  <si>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</si>
  <si>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</si>
  <si>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</si>
  <si>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</si>
  <si>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</si>
  <si>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</si>
  <si>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</si>
  <si>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</si>
  <si>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</si>
  <si>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</si>
  <si>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</si>
  <si>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</si>
  <si>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</si>
  <si>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</si>
  <si>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</si>
  <si>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</si>
  <si>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</si>
  <si>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</si>
  <si>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</si>
  <si>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</si>
  <si>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</si>
  <si>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</si>
  <si>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</si>
  <si>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</si>
  <si>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</si>
  <si>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</si>
  <si>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</si>
  <si>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</si>
  <si>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</si>
  <si>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</si>
  <si>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</si>
  <si>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</si>
  <si>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</si>
  <si>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</si>
  <si>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</si>
  <si>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</si>
  <si>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</si>
  <si>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</si>
  <si>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</si>
  <si>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</si>
  <si>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</si>
  <si>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</si>
  <si>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</si>
  <si>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</si>
  <si>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</si>
  <si>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</si>
  <si>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</si>
  <si>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</si>
  <si>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</si>
  <si>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</si>
  <si>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</si>
  <si>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</si>
  <si>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</si>
  <si>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</si>
  <si>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</si>
  <si>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</si>
  <si>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</si>
  <si>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</si>
  <si>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</si>
  <si>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</si>
  <si>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</si>
  <si>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</si>
  <si>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</si>
  <si>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</si>
  <si>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</si>
  <si>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</si>
  <si>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</si>
  <si>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</si>
  <si>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</si>
  <si>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</si>
  <si>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</si>
  <si>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</si>
  <si>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</si>
  <si>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</si>
  <si>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</si>
  <si>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</si>
  <si>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</si>
  <si>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</si>
  <si>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</si>
  <si>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</si>
  <si>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</si>
  <si>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</si>
  <si>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</si>
  <si>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</si>
  <si>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</si>
  <si>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</si>
  <si>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</si>
  <si>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</si>
  <si>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</si>
  <si>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</si>
  <si>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</si>
  <si>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</si>
  <si>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</si>
  <si>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</si>
  <si>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</si>
  <si>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</si>
  <si>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</si>
  <si>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</si>
  <si>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</si>
  <si>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</si>
  <si>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</si>
  <si>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</si>
  <si>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</si>
  <si>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</si>
  <si>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</si>
  <si>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</si>
  <si>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</si>
  <si>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</si>
  <si>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</si>
  <si>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</si>
  <si>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</si>
  <si>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</si>
  <si>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</si>
  <si>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</si>
  <si>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</si>
  <si>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</si>
  <si>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</si>
  <si>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</si>
  <si>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</si>
  <si>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</si>
  <si>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</si>
  <si>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</si>
  <si>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</si>
  <si>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</si>
  <si>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</si>
  <si>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</si>
  <si>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</si>
  <si>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</si>
  <si>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</si>
  <si>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</si>
  <si>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</si>
  <si>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</si>
  <si>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</si>
  <si>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</si>
  <si>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</si>
  <si>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</si>
  <si>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</si>
  <si>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</si>
  <si>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</si>
  <si>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</si>
  <si>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</si>
  <si>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</si>
  <si>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</si>
  <si>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</si>
  <si>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</si>
  <si>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</si>
  <si>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</si>
  <si>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</si>
  <si>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</si>
  <si>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</si>
  <si>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</si>
  <si>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</si>
  <si>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</si>
  <si>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</si>
  <si>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</si>
  <si>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</si>
  <si>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</si>
  <si>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</si>
  <si>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</si>
  <si>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</si>
  <si>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</si>
  <si>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V-2401GB47A-2206-500-CER-001</t>
  </si>
  <si>
    <t>V-2401GB47A-2206-500-LIS-001</t>
  </si>
  <si>
    <t>V-2401GB47A-2206-500-ITP-001</t>
  </si>
  <si>
    <t>Certificados de pruebas y materiales 3.1</t>
  </si>
  <si>
    <t>Packing List y autorización de envío</t>
  </si>
  <si>
    <t>Programa puntos de inspección</t>
  </si>
  <si>
    <t>P-25/050</t>
  </si>
  <si>
    <t>P-25/050_3</t>
  </si>
  <si>
    <t>CEPSA</t>
  </si>
  <si>
    <t>PLACA</t>
  </si>
  <si>
    <t>PA-25/050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</si>
</sst>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  <xf numFmtId="0" fontId="5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7.42578125" style="3" bestFit="1" customWidth="1"/>
    <col min="2" max="2" width="17" style="3" bestFit="1" customWidth="1"/>
    <col min="3" max="3" width="33.7109375" style="3" bestFit="1" customWidth="1"/>
    <col min="4" max="4" width="27.42578125" style="3" bestFit="1" customWidth="1"/>
    <col min="5" max="5" width="16" style="7" bestFit="1" customWidth="1"/>
    <col min="6" max="6" width="29.28515625" style="3" bestFit="1" customWidth="1"/>
    <col min="7" max="7" width="2.710937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175</v>
      </c>
      <c r="C1" s="1"/>
      <c r="D1" s="13"/>
      <c r="E1" s="1"/>
      <c r="F1" s="1"/>
      <c r="G1" s="1" t="str">
        <f>MID(B1,3,2)</f>
        <v>-2</v>
      </c>
      <c r="H1" s="1"/>
      <c r="I1" s="1"/>
      <c r="J1" s="1"/>
      <c r="K1" s="2"/>
      <c r="L1" s="8">
        <f ca="1">TODAY()</f>
        <v>45826</v>
      </c>
      <c r="M1" s="8">
        <f ca="1">L1+10</f>
        <v>45836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173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174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172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165</v>
      </c>
      <c r="B7" s="17">
        <v>0</v>
      </c>
      <c r="C7" s="17" t="s">
        <v>168</v>
      </c>
      <c r="D7" s="17" t="s">
        <v>165</v>
      </c>
      <c r="E7" s="17">
        <v>0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7" t="s">
        <v>166</v>
      </c>
      <c r="B8" s="17">
        <v>0</v>
      </c>
      <c r="C8" s="17" t="s">
        <v>169</v>
      </c>
      <c r="D8" s="17" t="s">
        <v>166</v>
      </c>
      <c r="E8" s="17">
        <v>0</v>
      </c>
      <c r="F8" s="12" t="s">
        <v>121</v>
      </c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17" t="s">
        <v>167</v>
      </c>
      <c r="B9" s="17">
        <v>0</v>
      </c>
      <c r="C9" s="17" t="s">
        <v>170</v>
      </c>
      <c r="D9" s="17" t="s">
        <v>167</v>
      </c>
      <c r="E9" s="17">
        <v>0</v>
      </c>
      <c r="F9" s="12" t="s">
        <v>121</v>
      </c>
      <c r="G9" s="1"/>
      <c r="H9" s="1"/>
      <c r="I9" s="1"/>
      <c r="J9" s="1"/>
      <c r="K9" s="1"/>
      <c r="L9" s="10" t="s">
        <v>129</v>
      </c>
      <c r="M9" s="19" t="s">
        <v>22</v>
      </c>
    </row>
    <row r="10" spans="1:16" ht="24.95" customHeight="1" x14ac:dyDescent="0.2">
      <c r="A10" s="18"/>
      <c r="B10" s="18"/>
      <c r="C10" s="18"/>
      <c r="D10" s="18"/>
      <c r="E10" s="18"/>
      <c r="F10" s="21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20"/>
      <c r="B11" s="20"/>
      <c r="C11" s="20"/>
      <c r="D11" s="20"/>
      <c r="E11" s="20"/>
      <c r="F11" s="20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57"/>
  <sheetViews>
    <sheetView topLeftCell="A20" workbookViewId="0">
      <selection activeCell="A57" sqref="A57:E57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  <row r="44" spans="1:6" x14ac:dyDescent="0.25">
      <c r="A44" s="5" t="s">
        <v>142</v>
      </c>
      <c r="B44" s="5" t="s">
        <v>38</v>
      </c>
      <c r="C44" s="5" t="s">
        <v>144</v>
      </c>
      <c r="D44" s="5" t="s">
        <v>61</v>
      </c>
      <c r="E44" s="5" t="s">
        <v>143</v>
      </c>
      <c r="F44" s="6">
        <v>45812</v>
      </c>
    </row>
    <row r="45" spans="1:6" x14ac:dyDescent="0.25">
      <c r="A45" s="5" t="s">
        <v>136</v>
      </c>
      <c r="B45" s="5" t="s">
        <v>38</v>
      </c>
      <c r="C45" s="5" t="s">
        <v>138</v>
      </c>
      <c r="D45" s="5" t="s">
        <v>61</v>
      </c>
      <c r="E45" s="5" t="s">
        <v>145</v>
      </c>
      <c r="F45" s="6">
        <v>45813</v>
      </c>
    </row>
    <row r="46" spans="1:6" x14ac:dyDescent="0.25">
      <c r="A46" s="5" t="s">
        <v>146</v>
      </c>
      <c r="B46" s="5" t="s">
        <v>38</v>
      </c>
      <c r="C46" s="5" t="s">
        <v>147</v>
      </c>
      <c r="D46" s="5" t="s">
        <v>49</v>
      </c>
      <c r="E46" s="5" t="s">
        <v>148</v>
      </c>
      <c r="F46" s="6">
        <v>45819</v>
      </c>
    </row>
    <row r="47" spans="1:6" x14ac:dyDescent="0.25">
      <c r="A47" s="5" t="s">
        <v>142</v>
      </c>
      <c r="B47" s="5" t="s">
        <v>38</v>
      </c>
      <c r="C47" s="5" t="s">
        <v>144</v>
      </c>
      <c r="D47" s="5" t="s">
        <v>61</v>
      </c>
      <c r="E47" s="5" t="s">
        <v>149</v>
      </c>
      <c r="F47" s="6">
        <v>45819</v>
      </c>
    </row>
    <row r="48" spans="1:6" x14ac:dyDescent="0.25">
      <c r="A48" s="5" t="s">
        <v>132</v>
      </c>
      <c r="B48" s="5" t="s">
        <v>38</v>
      </c>
      <c r="C48" s="5" t="s">
        <v>133</v>
      </c>
      <c r="D48" s="5" t="s">
        <v>61</v>
      </c>
      <c r="E48" s="5" t="s">
        <v>150</v>
      </c>
      <c r="F48" s="6">
        <v>45819</v>
      </c>
    </row>
    <row r="49" spans="1:6" x14ac:dyDescent="0.25">
      <c r="A49" s="5" t="s">
        <v>146</v>
      </c>
      <c r="B49" s="5" t="s">
        <v>38</v>
      </c>
      <c r="C49" s="5" t="s">
        <v>147</v>
      </c>
      <c r="D49" s="5" t="s">
        <v>49</v>
      </c>
      <c r="E49" s="5" t="s">
        <v>151</v>
      </c>
      <c r="F49" s="6">
        <v>45820</v>
      </c>
    </row>
    <row r="50" spans="1:6" x14ac:dyDescent="0.25">
      <c r="A50" s="5" t="s">
        <v>146</v>
      </c>
      <c r="B50" s="5" t="s">
        <v>38</v>
      </c>
      <c r="C50" s="5" t="s">
        <v>147</v>
      </c>
      <c r="D50" s="5" t="s">
        <v>49</v>
      </c>
      <c r="E50" s="5" t="s">
        <v>152</v>
      </c>
      <c r="F50" s="6">
        <v>45820</v>
      </c>
    </row>
    <row r="51" spans="1:6" x14ac:dyDescent="0.25">
      <c r="A51" s="5" t="s">
        <v>132</v>
      </c>
      <c r="B51" s="5" t="s">
        <v>38</v>
      </c>
      <c r="C51" s="5" t="s">
        <v>153</v>
      </c>
      <c r="D51" s="5" t="s">
        <v>61</v>
      </c>
      <c r="E51" s="5" t="s">
        <v>154</v>
      </c>
      <c r="F51" s="6">
        <v>45820</v>
      </c>
    </row>
    <row r="52" spans="1:6" x14ac:dyDescent="0.25">
      <c r="A52" s="5" t="s">
        <v>136</v>
      </c>
      <c r="B52" s="5" t="s">
        <v>38</v>
      </c>
      <c r="C52" s="5" t="s">
        <v>155</v>
      </c>
      <c r="D52" s="5" t="s">
        <v>61</v>
      </c>
      <c r="E52" s="5" t="s">
        <v>156</v>
      </c>
      <c r="F52" s="6">
        <v>45821</v>
      </c>
    </row>
    <row r="53" spans="1:6" x14ac:dyDescent="0.25">
      <c r="A53" s="5" t="s">
        <v>157</v>
      </c>
      <c r="B53" s="5" t="s">
        <v>38</v>
      </c>
      <c r="C53" s="5" t="s">
        <v>158</v>
      </c>
      <c r="D53" s="5" t="s">
        <v>49</v>
      </c>
      <c r="E53" s="5" t="s">
        <v>159</v>
      </c>
      <c r="F53" s="6">
        <v>45824</v>
      </c>
    </row>
    <row r="54" spans="1:6" x14ac:dyDescent="0.25">
      <c r="A54" s="5" t="s">
        <v>160</v>
      </c>
      <c r="B54" s="5" t="s">
        <v>38</v>
      </c>
      <c r="C54" s="5" t="s">
        <v>161</v>
      </c>
      <c r="D54" s="5" t="s">
        <v>61</v>
      </c>
      <c r="E54" s="5" t="s">
        <v>162</v>
      </c>
      <c r="F54" s="6">
        <v>45825</v>
      </c>
    </row>
    <row r="55" spans="1:6" x14ac:dyDescent="0.25">
      <c r="A55" s="5" t="s">
        <v>132</v>
      </c>
      <c r="B55" s="5" t="s">
        <v>38</v>
      </c>
      <c r="C55" s="5" t="s">
        <v>163</v>
      </c>
      <c r="D55" s="5" t="s">
        <v>61</v>
      </c>
      <c r="E55" s="5" t="s">
        <v>164</v>
      </c>
      <c r="F55" s="6">
        <v>45825</v>
      </c>
    </row>
    <row r="56" spans="1:6" x14ac:dyDescent="0.25">
      <c r="A56" s="5" t="s">
        <v>171</v>
      </c>
      <c r="B56" s="5" t="s">
        <v>38</v>
      </c>
      <c r="C56" s="5" t="s">
        <v>173</v>
      </c>
      <c r="D56" s="5" t="s">
        <v>174</v>
      </c>
      <c r="E56" s="5" t="s">
        <v>172</v>
      </c>
      <c r="F56" s="6">
        <v>45826</v>
      </c>
    </row>
    <row r="57" spans="1:6" x14ac:dyDescent="0.25">
      <c r="A57" s="5" t="s">
        <v>175</v>
      </c>
      <c r="B57" s="5" t="s">
        <v>38</v>
      </c>
      <c r="C57" s="5" t="s">
        <v>173</v>
      </c>
      <c r="D57" s="5" t="s">
        <v>174</v>
      </c>
      <c r="E57" s="5" t="s">
        <v>172</v>
      </c>
      <c r="F57" s="6">
        <v>45826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2025-06-18T09:31:52Z</dcterms:modified>
</cp:coreProperties>
</file>